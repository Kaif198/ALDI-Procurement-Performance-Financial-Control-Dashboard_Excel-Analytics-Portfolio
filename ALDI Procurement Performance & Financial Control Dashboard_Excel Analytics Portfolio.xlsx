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if Ahmed\Downloads\"/>
    </mc:Choice>
  </mc:AlternateContent>
  <xr:revisionPtr revIDLastSave="0" documentId="13_ncr:1_{2BEBEA9A-0360-452B-951F-0781318A5AC7}" xr6:coauthVersionLast="47" xr6:coauthVersionMax="47" xr10:uidLastSave="{00000000-0000-0000-0000-000000000000}"/>
  <bookViews>
    <workbookView xWindow="-108" yWindow="-108" windowWidth="23256" windowHeight="12456" tabRatio="500" firstSheet="5" activeTab="7" xr2:uid="{00000000-000D-0000-FFFF-FFFF00000000}"/>
  </bookViews>
  <sheets>
    <sheet name="Executive Dashboard" sheetId="1" r:id="rId1"/>
    <sheet name="Data Input" sheetId="2" r:id="rId2"/>
    <sheet name="Spend Analysis" sheetId="3" r:id="rId3"/>
    <sheet name="Supplier Scorecard" sheetId="4" r:id="rId4"/>
    <sheet name="Cost Savings Tracker" sheetId="5" r:id="rId5"/>
    <sheet name="Business Case Calculator" sheetId="6" r:id="rId6"/>
    <sheet name="Budget vs Actual" sheetId="7" r:id="rId7"/>
    <sheet name="Documentation" sheetId="8" r:id="rId8"/>
  </sheets>
  <definedNames>
    <definedName name="_xlnm._FilterDatabase" localSheetId="1" hidden="1">'Data Input'!$A$1:$I$131</definedName>
    <definedName name="_xlchart.v1.0" hidden="1">'Executive Dashboard'!$A$9:$A$17</definedName>
    <definedName name="_xlchart.v1.1" hidden="1">'Executive Dashboard'!$B$8</definedName>
    <definedName name="_xlchart.v1.2" hidden="1">'Executive Dashboard'!$B$9:$B$17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50" i="3"/>
  <c r="G50" i="3" s="1"/>
  <c r="C19" i="7"/>
  <c r="B19" i="7"/>
  <c r="C18" i="7"/>
  <c r="B18" i="7"/>
  <c r="C17" i="7"/>
  <c r="B17" i="7"/>
  <c r="C16" i="7"/>
  <c r="B16" i="7"/>
  <c r="S13" i="7"/>
  <c r="R13" i="7"/>
  <c r="P13" i="7"/>
  <c r="Q13" i="7" s="1"/>
  <c r="O13" i="7"/>
  <c r="N13" i="7"/>
  <c r="L13" i="7"/>
  <c r="M13" i="7" s="1"/>
  <c r="K13" i="7"/>
  <c r="J13" i="7"/>
  <c r="H13" i="7"/>
  <c r="I13" i="7" s="1"/>
  <c r="G13" i="7"/>
  <c r="F13" i="7"/>
  <c r="D13" i="7"/>
  <c r="E13" i="7" s="1"/>
  <c r="C13" i="7"/>
  <c r="B13" i="7"/>
  <c r="S12" i="7"/>
  <c r="T12" i="7" s="1"/>
  <c r="U12" i="7" s="1"/>
  <c r="R12" i="7"/>
  <c r="P12" i="7"/>
  <c r="Q12" i="7" s="1"/>
  <c r="L12" i="7"/>
  <c r="M12" i="7" s="1"/>
  <c r="H12" i="7"/>
  <c r="I12" i="7" s="1"/>
  <c r="D12" i="7"/>
  <c r="E12" i="7" s="1"/>
  <c r="S11" i="7"/>
  <c r="T11" i="7" s="1"/>
  <c r="U11" i="7" s="1"/>
  <c r="R11" i="7"/>
  <c r="P11" i="7"/>
  <c r="Q11" i="7" s="1"/>
  <c r="L11" i="7"/>
  <c r="M11" i="7" s="1"/>
  <c r="H11" i="7"/>
  <c r="I11" i="7" s="1"/>
  <c r="D11" i="7"/>
  <c r="E11" i="7" s="1"/>
  <c r="S10" i="7"/>
  <c r="T10" i="7" s="1"/>
  <c r="U10" i="7" s="1"/>
  <c r="R10" i="7"/>
  <c r="Q10" i="7"/>
  <c r="P10" i="7"/>
  <c r="L10" i="7"/>
  <c r="M10" i="7" s="1"/>
  <c r="H10" i="7"/>
  <c r="I10" i="7" s="1"/>
  <c r="D10" i="7"/>
  <c r="E10" i="7" s="1"/>
  <c r="S9" i="7"/>
  <c r="T9" i="7" s="1"/>
  <c r="U9" i="7" s="1"/>
  <c r="R9" i="7"/>
  <c r="P9" i="7"/>
  <c r="Q9" i="7" s="1"/>
  <c r="L9" i="7"/>
  <c r="M9" i="7" s="1"/>
  <c r="H9" i="7"/>
  <c r="I9" i="7" s="1"/>
  <c r="D9" i="7"/>
  <c r="E9" i="7" s="1"/>
  <c r="S8" i="7"/>
  <c r="T8" i="7" s="1"/>
  <c r="U8" i="7" s="1"/>
  <c r="R8" i="7"/>
  <c r="P8" i="7"/>
  <c r="Q8" i="7" s="1"/>
  <c r="L8" i="7"/>
  <c r="M8" i="7" s="1"/>
  <c r="I8" i="7"/>
  <c r="H8" i="7"/>
  <c r="D8" i="7"/>
  <c r="E8" i="7" s="1"/>
  <c r="S7" i="7"/>
  <c r="T7" i="7" s="1"/>
  <c r="U7" i="7" s="1"/>
  <c r="R7" i="7"/>
  <c r="P7" i="7"/>
  <c r="Q7" i="7" s="1"/>
  <c r="L7" i="7"/>
  <c r="M7" i="7" s="1"/>
  <c r="H7" i="7"/>
  <c r="I7" i="7" s="1"/>
  <c r="D7" i="7"/>
  <c r="E7" i="7" s="1"/>
  <c r="S6" i="7"/>
  <c r="T6" i="7" s="1"/>
  <c r="U6" i="7" s="1"/>
  <c r="R6" i="7"/>
  <c r="P6" i="7"/>
  <c r="Q6" i="7" s="1"/>
  <c r="L6" i="7"/>
  <c r="M6" i="7" s="1"/>
  <c r="H6" i="7"/>
  <c r="I6" i="7" s="1"/>
  <c r="D6" i="7"/>
  <c r="E6" i="7" s="1"/>
  <c r="T5" i="7"/>
  <c r="U5" i="7" s="1"/>
  <c r="S5" i="7"/>
  <c r="R5" i="7"/>
  <c r="P5" i="7"/>
  <c r="Q5" i="7" s="1"/>
  <c r="L5" i="7"/>
  <c r="M5" i="7" s="1"/>
  <c r="H5" i="7"/>
  <c r="I5" i="7" s="1"/>
  <c r="D5" i="7"/>
  <c r="E5" i="7" s="1"/>
  <c r="S4" i="7"/>
  <c r="T4" i="7" s="1"/>
  <c r="R4" i="7"/>
  <c r="P4" i="7"/>
  <c r="Q4" i="7" s="1"/>
  <c r="L4" i="7"/>
  <c r="M4" i="7" s="1"/>
  <c r="H4" i="7"/>
  <c r="I4" i="7" s="1"/>
  <c r="D4" i="7"/>
  <c r="E4" i="7" s="1"/>
  <c r="B23" i="6"/>
  <c r="F18" i="6"/>
  <c r="G23" i="6" s="1"/>
  <c r="E18" i="6"/>
  <c r="F23" i="6" s="1"/>
  <c r="D18" i="6"/>
  <c r="E23" i="6" s="1"/>
  <c r="C18" i="6"/>
  <c r="B18" i="6"/>
  <c r="C23" i="6" s="1"/>
  <c r="B34" i="5"/>
  <c r="B33" i="5"/>
  <c r="B32" i="5"/>
  <c r="B31" i="5"/>
  <c r="B24" i="5"/>
  <c r="H21" i="5"/>
  <c r="I21" i="5" s="1"/>
  <c r="H20" i="5"/>
  <c r="H19" i="5"/>
  <c r="H18" i="5"/>
  <c r="I18" i="5" s="1"/>
  <c r="H17" i="5"/>
  <c r="H16" i="5"/>
  <c r="H15" i="5"/>
  <c r="I14" i="5"/>
  <c r="H14" i="5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F52" i="3"/>
  <c r="E52" i="3"/>
  <c r="D52" i="3"/>
  <c r="C52" i="3"/>
  <c r="B52" i="3"/>
  <c r="G52" i="3" s="1"/>
  <c r="F51" i="3"/>
  <c r="E51" i="3"/>
  <c r="D51" i="3"/>
  <c r="C51" i="3"/>
  <c r="B51" i="3"/>
  <c r="G51" i="3" s="1"/>
  <c r="F50" i="3"/>
  <c r="E50" i="3"/>
  <c r="D50" i="3"/>
  <c r="C50" i="3"/>
  <c r="F49" i="3"/>
  <c r="E49" i="3"/>
  <c r="D49" i="3"/>
  <c r="C49" i="3"/>
  <c r="B49" i="3"/>
  <c r="G49" i="3" s="1"/>
  <c r="F48" i="3"/>
  <c r="E48" i="3"/>
  <c r="D48" i="3"/>
  <c r="C48" i="3"/>
  <c r="B48" i="3"/>
  <c r="G48" i="3" s="1"/>
  <c r="F47" i="3"/>
  <c r="E47" i="3"/>
  <c r="D47" i="3"/>
  <c r="C47" i="3"/>
  <c r="B47" i="3"/>
  <c r="G47" i="3" s="1"/>
  <c r="F46" i="3"/>
  <c r="E46" i="3"/>
  <c r="D46" i="3"/>
  <c r="C46" i="3"/>
  <c r="B46" i="3"/>
  <c r="G46" i="3" s="1"/>
  <c r="F45" i="3"/>
  <c r="E45" i="3"/>
  <c r="D45" i="3"/>
  <c r="C45" i="3"/>
  <c r="B45" i="3"/>
  <c r="G45" i="3" s="1"/>
  <c r="F44" i="3"/>
  <c r="E44" i="3"/>
  <c r="D44" i="3"/>
  <c r="C44" i="3"/>
  <c r="B44" i="3"/>
  <c r="G44" i="3" s="1"/>
  <c r="F39" i="3"/>
  <c r="E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H39" i="3" s="1"/>
  <c r="G4" i="3"/>
  <c r="B51" i="1"/>
  <c r="B43" i="1"/>
  <c r="B42" i="1"/>
  <c r="B41" i="1"/>
  <c r="B40" i="1"/>
  <c r="B39" i="1"/>
  <c r="B38" i="1"/>
  <c r="B37" i="1"/>
  <c r="B36" i="1"/>
  <c r="B35" i="1"/>
  <c r="B34" i="1"/>
  <c r="B33" i="1"/>
  <c r="B32" i="1"/>
  <c r="B29" i="1"/>
  <c r="B28" i="1"/>
  <c r="B27" i="1"/>
  <c r="B26" i="1"/>
  <c r="B25" i="1"/>
  <c r="B24" i="1"/>
  <c r="B23" i="1"/>
  <c r="B22" i="1"/>
  <c r="B21" i="1"/>
  <c r="B20" i="1"/>
  <c r="B17" i="1"/>
  <c r="B16" i="1"/>
  <c r="B14" i="1"/>
  <c r="B13" i="1"/>
  <c r="B12" i="1"/>
  <c r="B11" i="1"/>
  <c r="B10" i="1"/>
  <c r="B9" i="1"/>
  <c r="G6" i="1"/>
  <c r="A6" i="1"/>
  <c r="G39" i="3" l="1"/>
  <c r="U4" i="7"/>
  <c r="T13" i="7"/>
  <c r="U13" i="7" s="1"/>
  <c r="J6" i="1" s="1"/>
  <c r="B24" i="6"/>
  <c r="D23" i="6"/>
  <c r="D35" i="6"/>
  <c r="D36" i="6"/>
  <c r="B35" i="6"/>
  <c r="C34" i="6"/>
  <c r="C36" i="6"/>
  <c r="B36" i="6"/>
  <c r="D41" i="6" s="1"/>
  <c r="C35" i="6"/>
  <c r="D34" i="6"/>
  <c r="B41" i="6" s="1"/>
  <c r="B34" i="6"/>
  <c r="C42" i="6"/>
  <c r="D42" i="6"/>
  <c r="B42" i="6"/>
  <c r="I20" i="5"/>
  <c r="B49" i="1"/>
  <c r="B48" i="1"/>
  <c r="I19" i="5"/>
  <c r="I17" i="5"/>
  <c r="B50" i="1"/>
  <c r="I16" i="5"/>
  <c r="B46" i="1"/>
  <c r="B29" i="5"/>
  <c r="B25" i="5"/>
  <c r="B26" i="5" s="1"/>
  <c r="D6" i="1" s="1"/>
  <c r="B47" i="1"/>
  <c r="I15" i="5"/>
  <c r="B30" i="5"/>
  <c r="B29" i="6" l="1"/>
  <c r="C44" i="6" s="1"/>
  <c r="C24" i="6"/>
  <c r="D24" i="6" s="1"/>
  <c r="E24" i="6" s="1"/>
  <c r="F24" i="6" s="1"/>
  <c r="G24" i="6" s="1"/>
  <c r="B27" i="6"/>
  <c r="B26" i="6"/>
  <c r="C41" i="6" s="1"/>
  <c r="B43" i="6"/>
  <c r="D43" i="6"/>
  <c r="B28" i="6"/>
  <c r="C43" i="6" s="1"/>
</calcChain>
</file>

<file path=xl/sharedStrings.xml><?xml version="1.0" encoding="utf-8"?>
<sst xmlns="http://schemas.openxmlformats.org/spreadsheetml/2006/main" count="1369" uniqueCount="581">
  <si>
    <t>ALDI Procurement Performance Dashboard — FY 2025</t>
  </si>
  <si>
    <t>Prepared by: Mohammed Kaif Ahmed | MSc Strategy Management, Dublin City University</t>
  </si>
  <si>
    <t>Total Spend (€)</t>
  </si>
  <si>
    <t>Cost Savings Rate</t>
  </si>
  <si>
    <t>Avg Supplier Score</t>
  </si>
  <si>
    <t>Budget Variance</t>
  </si>
  <si>
    <t>Category</t>
  </si>
  <si>
    <t>2025 Spend (€)</t>
  </si>
  <si>
    <t>Fresh Produce</t>
  </si>
  <si>
    <t>Packaged Foods</t>
  </si>
  <si>
    <t>Beverages</t>
  </si>
  <si>
    <t>Packaging Materials</t>
  </si>
  <si>
    <t>Logistics &amp; Transport</t>
  </si>
  <si>
    <t>Store Equipment</t>
  </si>
  <si>
    <t>IT Services</t>
  </si>
  <si>
    <t>Marketing &amp; Advertising</t>
  </si>
  <si>
    <t>Facilities Management</t>
  </si>
  <si>
    <t>Top Suppliers</t>
  </si>
  <si>
    <t>Spend (€)</t>
  </si>
  <si>
    <t>Ülker Bisküvi</t>
  </si>
  <si>
    <t>Frutura Group</t>
  </si>
  <si>
    <t>Greenyard NV</t>
  </si>
  <si>
    <t>Bel Group</t>
  </si>
  <si>
    <t>Smurfit Kappa</t>
  </si>
  <si>
    <t>Univeg Trade</t>
  </si>
  <si>
    <t>Refresco Group</t>
  </si>
  <si>
    <t>Barilla Group</t>
  </si>
  <si>
    <t>Rauch Fruchtsäfte</t>
  </si>
  <si>
    <t>Müller Fresh Foods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</si>
  <si>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</si>
  <si>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</si>
  <si>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</si>
  <si>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</si>
  <si>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</si>
  <si>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</si>
  <si>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</si>
  <si>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</si>
  <si>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</si>
  <si>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</si>
  <si>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</si>
  <si>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</si>
  <si>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</si>
  <si>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Initiative Type</t>
  </si>
  <si>
    <t>Savings (€)</t>
  </si>
  <si>
    <t>Supplier Consolidation</t>
  </si>
  <si>
    <t>Contract Renegotiation</t>
  </si>
  <si>
    <t>Process Automation</t>
  </si>
  <si>
    <t>Strategic Sourcing</t>
  </si>
  <si>
    <t>Demand Management</t>
  </si>
  <si>
    <t>Specification Optimization</t>
  </si>
  <si>
    <t>Transaction ID</t>
  </si>
  <si>
    <t>Date</t>
  </si>
  <si>
    <t>Supplier</t>
  </si>
  <si>
    <t>Region</t>
  </si>
  <si>
    <t>Subcategory</t>
  </si>
  <si>
    <t>Amount (€)</t>
  </si>
  <si>
    <t>Payment Terms (Days)</t>
  </si>
  <si>
    <t>Purchase Order Number</t>
  </si>
  <si>
    <t>TXN-000001</t>
  </si>
  <si>
    <t>Coca-Cola Europacific</t>
  </si>
  <si>
    <t>Austria</t>
  </si>
  <si>
    <t>Juices</t>
  </si>
  <si>
    <t>PO-2025-00001</t>
  </si>
  <si>
    <t>TXN-000002</t>
  </si>
  <si>
    <t>Carrier Refrigeration</t>
  </si>
  <si>
    <t>Refrigeration</t>
  </si>
  <si>
    <t>PO-2024-00002</t>
  </si>
  <si>
    <t>TXN-000003</t>
  </si>
  <si>
    <t>Meat &amp; Poultry</t>
  </si>
  <si>
    <t>PO-2025-00003</t>
  </si>
  <si>
    <t>TXN-000004</t>
  </si>
  <si>
    <t>Netherlands</t>
  </si>
  <si>
    <t>Dairy</t>
  </si>
  <si>
    <t>PO-2024-00004</t>
  </si>
  <si>
    <t>TXN-000005</t>
  </si>
  <si>
    <t>Germany</t>
  </si>
  <si>
    <t>Cereals</t>
  </si>
  <si>
    <t>PO-2025-00005</t>
  </si>
  <si>
    <t>TXN-000006</t>
  </si>
  <si>
    <t>CBRE Group</t>
  </si>
  <si>
    <t>HVAC Maintenance</t>
  </si>
  <si>
    <t>PO-2025-00006</t>
  </si>
  <si>
    <t>TXN-000007</t>
  </si>
  <si>
    <t>Labels</t>
  </si>
  <si>
    <t>PO-2025-00007</t>
  </si>
  <si>
    <t>TXN-000008</t>
  </si>
  <si>
    <t>Snacks</t>
  </si>
  <si>
    <t>PO-2024-00008</t>
  </si>
  <si>
    <t>TXN-000009</t>
  </si>
  <si>
    <t>Infosys Europe</t>
  </si>
  <si>
    <t>Ireland</t>
  </si>
  <si>
    <t>Cybersecurity</t>
  </si>
  <si>
    <t>PO-2025-00009</t>
  </si>
  <si>
    <t>TXN-000010</t>
  </si>
  <si>
    <t>UK</t>
  </si>
  <si>
    <t>PO-2025-00010</t>
  </si>
  <si>
    <t>TXN-000011</t>
  </si>
  <si>
    <t>Total Produce</t>
  </si>
  <si>
    <t>Fruits</t>
  </si>
  <si>
    <t>PO-2025-00011</t>
  </si>
  <si>
    <t>TXN-000012</t>
  </si>
  <si>
    <t>Eckes-Granini</t>
  </si>
  <si>
    <t>PO-2024-00012</t>
  </si>
  <si>
    <t>TXN-000013</t>
  </si>
  <si>
    <t>PO-2024-00013</t>
  </si>
  <si>
    <t>TXN-000014</t>
  </si>
  <si>
    <t>Plastic Film</t>
  </si>
  <si>
    <t>PO-2025-00014</t>
  </si>
  <si>
    <t>TXN-000015</t>
  </si>
  <si>
    <t>PO-2025-00015</t>
  </si>
  <si>
    <t>TXN-000016</t>
  </si>
  <si>
    <t>PO-2025-00016</t>
  </si>
  <si>
    <t>TXN-000017</t>
  </si>
  <si>
    <t>BBDO Europe</t>
  </si>
  <si>
    <t>In-Store Promotions</t>
  </si>
  <si>
    <t>PO-2025-00017</t>
  </si>
  <si>
    <t>TXN-000018</t>
  </si>
  <si>
    <t>Vegetables</t>
  </si>
  <si>
    <t>PO-2025-00018</t>
  </si>
  <si>
    <t>TXN-000019</t>
  </si>
  <si>
    <t>Cloud Services</t>
  </si>
  <si>
    <t>PO-2024-00019</t>
  </si>
  <si>
    <t>TXN-000020</t>
  </si>
  <si>
    <t>PO-2025-00020</t>
  </si>
  <si>
    <t>TXN-000021</t>
  </si>
  <si>
    <t>Berry Global Europe</t>
  </si>
  <si>
    <t>PO-2025-00021</t>
  </si>
  <si>
    <t>TXN-000022</t>
  </si>
  <si>
    <t>ERP Maintenance</t>
  </si>
  <si>
    <t>PO-2025-00022</t>
  </si>
  <si>
    <t>TXN-000023</t>
  </si>
  <si>
    <t>Nestlé Europe</t>
  </si>
  <si>
    <t>PO-2024-00023</t>
  </si>
  <si>
    <t>TXN-000024</t>
  </si>
  <si>
    <t>PO-2024-00024</t>
  </si>
  <si>
    <t>TXN-000025</t>
  </si>
  <si>
    <t>PO-2025-00025</t>
  </si>
  <si>
    <t>TXN-000026</t>
  </si>
  <si>
    <t>DHL Supply Chain</t>
  </si>
  <si>
    <t>Inbound Freight</t>
  </si>
  <si>
    <t>PO-2025-00026</t>
  </si>
  <si>
    <t>TXN-000027</t>
  </si>
  <si>
    <t>Canned Goods</t>
  </si>
  <si>
    <t>PO-2024-00027</t>
  </si>
  <si>
    <t>TXN-000028</t>
  </si>
  <si>
    <t>PO-2024-00028</t>
  </si>
  <si>
    <t>TXN-000029</t>
  </si>
  <si>
    <t>Wanzl GmbH</t>
  </si>
  <si>
    <t>POS Systems</t>
  </si>
  <si>
    <t>PO-2025-00029</t>
  </si>
  <si>
    <t>TXN-000030</t>
  </si>
  <si>
    <t>XPO Logistics Europe</t>
  </si>
  <si>
    <t>Outbound Distribution</t>
  </si>
  <si>
    <t>PO-2025-00030</t>
  </si>
  <si>
    <t>TXN-000031</t>
  </si>
  <si>
    <t>PO-2025-00031</t>
  </si>
  <si>
    <t>TXN-000032</t>
  </si>
  <si>
    <t>Dr. Oetker GmbH</t>
  </si>
  <si>
    <t>PO-2025-00032</t>
  </si>
  <si>
    <t>TXN-000033</t>
  </si>
  <si>
    <t>PO-2025-00033</t>
  </si>
  <si>
    <t>TXN-000034</t>
  </si>
  <si>
    <t>PO-2025-00034</t>
  </si>
  <si>
    <t>TXN-000035</t>
  </si>
  <si>
    <t>PO-2024-00035</t>
  </si>
  <si>
    <t>TXN-000036</t>
  </si>
  <si>
    <t>PO-2025-00036</t>
  </si>
  <si>
    <t>TXN-000037</t>
  </si>
  <si>
    <t>Soft Drinks</t>
  </si>
  <si>
    <t>PO-2025-00037</t>
  </si>
  <si>
    <t>TXN-000038</t>
  </si>
  <si>
    <t>Shelving</t>
  </si>
  <si>
    <t>PO-2025-00038</t>
  </si>
  <si>
    <t>TXN-000039</t>
  </si>
  <si>
    <t>Water</t>
  </si>
  <si>
    <t>PO-2024-00039</t>
  </si>
  <si>
    <t>TXN-000040</t>
  </si>
  <si>
    <t>PO-2024-00040</t>
  </si>
  <si>
    <t>TXN-000041</t>
  </si>
  <si>
    <t>PO-2025-00041</t>
  </si>
  <si>
    <t>TXN-000042</t>
  </si>
  <si>
    <t>PO-2025-00042</t>
  </si>
  <si>
    <t>TXN-000043</t>
  </si>
  <si>
    <t>PO-2025-00043</t>
  </si>
  <si>
    <t>TXN-000044</t>
  </si>
  <si>
    <t>PO-2024-00044</t>
  </si>
  <si>
    <t>TXN-000045</t>
  </si>
  <si>
    <t>PO-2025-00045</t>
  </si>
  <si>
    <t>TXN-000046</t>
  </si>
  <si>
    <t>PO-2024-00046</t>
  </si>
  <si>
    <t>TXN-000047</t>
  </si>
  <si>
    <t>PO-2025-00047</t>
  </si>
  <si>
    <t>TXN-000048</t>
  </si>
  <si>
    <t>PO-2025-00048</t>
  </si>
  <si>
    <t>TXN-000049</t>
  </si>
  <si>
    <t>PO-2024-00049</t>
  </si>
  <si>
    <t>TXN-000050</t>
  </si>
  <si>
    <t>PO-2024-00050</t>
  </si>
  <si>
    <t>TXN-000051</t>
  </si>
  <si>
    <t>Serviceplan Group</t>
  </si>
  <si>
    <t>PO-2025-00051</t>
  </si>
  <si>
    <t>TXN-000052</t>
  </si>
  <si>
    <t>Cleaning Services</t>
  </si>
  <si>
    <t>PO-2025-00052</t>
  </si>
  <si>
    <t>TXN-000053</t>
  </si>
  <si>
    <t>PO-2024-00053</t>
  </si>
  <si>
    <t>TXN-000054</t>
  </si>
  <si>
    <t>MediaCom</t>
  </si>
  <si>
    <t>Digital Campaigns</t>
  </si>
  <si>
    <t>PO-2024-00054</t>
  </si>
  <si>
    <t>TXN-000055</t>
  </si>
  <si>
    <t>PO-2024-00055</t>
  </si>
  <si>
    <t>TXN-000056</t>
  </si>
  <si>
    <t>Alcoholic</t>
  </si>
  <si>
    <t>PO-2024-00056</t>
  </si>
  <si>
    <t>TXN-000057</t>
  </si>
  <si>
    <t>Frozen Foods</t>
  </si>
  <si>
    <t>PO-2025-00057</t>
  </si>
  <si>
    <t>TXN-000058</t>
  </si>
  <si>
    <t>Warehousing</t>
  </si>
  <si>
    <t>PO-2025-00058</t>
  </si>
  <si>
    <t>TXN-000059</t>
  </si>
  <si>
    <t>PO-2024-00059</t>
  </si>
  <si>
    <t>TXN-000060</t>
  </si>
  <si>
    <t>PO-2025-00060</t>
  </si>
  <si>
    <t>TXN-000061</t>
  </si>
  <si>
    <t>PO-2024-00061</t>
  </si>
  <si>
    <t>TXN-000062</t>
  </si>
  <si>
    <t>PO-2024-00062</t>
  </si>
  <si>
    <t>TXN-000063</t>
  </si>
  <si>
    <t>Kühne+Nagel</t>
  </si>
  <si>
    <t>PO-2025-00063</t>
  </si>
  <si>
    <t>TXN-000064</t>
  </si>
  <si>
    <t>PO-2025-00064</t>
  </si>
  <si>
    <t>TXN-000065</t>
  </si>
  <si>
    <t>PO-2025-00065</t>
  </si>
  <si>
    <t>TXN-000066</t>
  </si>
  <si>
    <t>PO-2024-00066</t>
  </si>
  <si>
    <t>TXN-000067</t>
  </si>
  <si>
    <t>PO-2025-00067</t>
  </si>
  <si>
    <t>TXN-000068</t>
  </si>
  <si>
    <t>PO-2025-00068</t>
  </si>
  <si>
    <t>TXN-000069</t>
  </si>
  <si>
    <t>PO-2025-00069</t>
  </si>
  <si>
    <t>TXN-000070</t>
  </si>
  <si>
    <t>PO-2025-00070</t>
  </si>
  <si>
    <t>TXN-000071</t>
  </si>
  <si>
    <t>PO-2025-00071</t>
  </si>
  <si>
    <t>TXN-000072</t>
  </si>
  <si>
    <t>PO-2024-00072</t>
  </si>
  <si>
    <t>TXN-000073</t>
  </si>
  <si>
    <t>PO-2025-00073</t>
  </si>
  <si>
    <t>TXN-000074</t>
  </si>
  <si>
    <t>PO-2024-00074</t>
  </si>
  <si>
    <t>TXN-000075</t>
  </si>
  <si>
    <t>DB Schenker</t>
  </si>
  <si>
    <t>PO-2024-00075</t>
  </si>
  <si>
    <t>TXN-000076</t>
  </si>
  <si>
    <t>PO-2024-00076</t>
  </si>
  <si>
    <t>TXN-000077</t>
  </si>
  <si>
    <t>PO-2024-00077</t>
  </si>
  <si>
    <t>TXN-000078</t>
  </si>
  <si>
    <t>PO-2024-00078</t>
  </si>
  <si>
    <t>TXN-000079</t>
  </si>
  <si>
    <t>PO-2024-00079</t>
  </si>
  <si>
    <t>TXN-000080</t>
  </si>
  <si>
    <t>PO-2024-00080</t>
  </si>
  <si>
    <t>TXN-000081</t>
  </si>
  <si>
    <t>PO-2025-00081</t>
  </si>
  <si>
    <t>TXN-000082</t>
  </si>
  <si>
    <t>PO-2025-00082</t>
  </si>
  <si>
    <t>TXN-000083</t>
  </si>
  <si>
    <t>PO-2024-00083</t>
  </si>
  <si>
    <t>TXN-000084</t>
  </si>
  <si>
    <t>PO-2024-00084</t>
  </si>
  <si>
    <t>TXN-000085</t>
  </si>
  <si>
    <t>PO-2024-00085</t>
  </si>
  <si>
    <t>TXN-000086</t>
  </si>
  <si>
    <t>PO-2025-00086</t>
  </si>
  <si>
    <t>TXN-000087</t>
  </si>
  <si>
    <t>PO-2024-00087</t>
  </si>
  <si>
    <t>TXN-000088</t>
  </si>
  <si>
    <t>PO-2025-00088</t>
  </si>
  <si>
    <t>TXN-000089</t>
  </si>
  <si>
    <t>PO-2025-00089</t>
  </si>
  <si>
    <t>TXN-000090</t>
  </si>
  <si>
    <t>PO-2025-00090</t>
  </si>
  <si>
    <t>TXN-000091</t>
  </si>
  <si>
    <t>PO-2024-00091</t>
  </si>
  <si>
    <t>TXN-000092</t>
  </si>
  <si>
    <t>Print Media</t>
  </si>
  <si>
    <t>PO-2025-00092</t>
  </si>
  <si>
    <t>TXN-000093</t>
  </si>
  <si>
    <t>PO-2025-00093</t>
  </si>
  <si>
    <t>TXN-000094</t>
  </si>
  <si>
    <t>PO-2025-00094</t>
  </si>
  <si>
    <t>TXN-000095</t>
  </si>
  <si>
    <t>PO-2025-00095</t>
  </si>
  <si>
    <t>TXN-000096</t>
  </si>
  <si>
    <t>PO-2025-00096</t>
  </si>
  <si>
    <t>TXN-000097</t>
  </si>
  <si>
    <t>PO-2025-00097</t>
  </si>
  <si>
    <t>TXN-000098</t>
  </si>
  <si>
    <t>PO-2024-00098</t>
  </si>
  <si>
    <t>TXN-000099</t>
  </si>
  <si>
    <t>PO-2025-00099</t>
  </si>
  <si>
    <t>TXN-000100</t>
  </si>
  <si>
    <t>PO-2024-00100</t>
  </si>
  <si>
    <t>TXN-000101</t>
  </si>
  <si>
    <t>PO-2025-00101</t>
  </si>
  <si>
    <t>TXN-000102</t>
  </si>
  <si>
    <t>PO-2025-00102</t>
  </si>
  <si>
    <t>TXN-000103</t>
  </si>
  <si>
    <t>PO-2025-00103</t>
  </si>
  <si>
    <t>TXN-000104</t>
  </si>
  <si>
    <t>Sodexo</t>
  </si>
  <si>
    <t>Security</t>
  </si>
  <si>
    <t>PO-2025-00104</t>
  </si>
  <si>
    <t>TXN-000105</t>
  </si>
  <si>
    <t>PO-2025-00105</t>
  </si>
  <si>
    <t>TXN-000106</t>
  </si>
  <si>
    <t>PO-2025-00106</t>
  </si>
  <si>
    <t>TXN-000107</t>
  </si>
  <si>
    <t>PO-2024-00107</t>
  </si>
  <si>
    <t>TXN-000108</t>
  </si>
  <si>
    <t>PO-2025-00108</t>
  </si>
  <si>
    <t>TXN-000109</t>
  </si>
  <si>
    <t>PO-2024-00109</t>
  </si>
  <si>
    <t>TXN-000110</t>
  </si>
  <si>
    <t>PO-2025-00110</t>
  </si>
  <si>
    <t>TXN-000111</t>
  </si>
  <si>
    <t>Mondi Group</t>
  </si>
  <si>
    <t>Pallets</t>
  </si>
  <si>
    <t>PO-2025-00111</t>
  </si>
  <si>
    <t>TXN-000112</t>
  </si>
  <si>
    <t>PO-2025-00112</t>
  </si>
  <si>
    <t>TXN-000113</t>
  </si>
  <si>
    <t>PO-2024-00113</t>
  </si>
  <si>
    <t>TXN-000114</t>
  </si>
  <si>
    <t>PO-2025-00114</t>
  </si>
  <si>
    <t>TXN-000115</t>
  </si>
  <si>
    <t>PO-2025-00115</t>
  </si>
  <si>
    <t>TXN-000116</t>
  </si>
  <si>
    <t>PO-2025-00116</t>
  </si>
  <si>
    <t>TXN-000117</t>
  </si>
  <si>
    <t>PO-2025-00117</t>
  </si>
  <si>
    <t>TXN-000118</t>
  </si>
  <si>
    <t>PO-2025-00118</t>
  </si>
  <si>
    <t>TXN-000119</t>
  </si>
  <si>
    <t>SAP SE</t>
  </si>
  <si>
    <t>PO-2024-00119</t>
  </si>
  <si>
    <t>TXN-000120</t>
  </si>
  <si>
    <t>PO-2025-00120</t>
  </si>
  <si>
    <t>TXN-000121</t>
  </si>
  <si>
    <t>PO-2025-00121</t>
  </si>
  <si>
    <t>TXN-000122</t>
  </si>
  <si>
    <t>PO-2025-00122</t>
  </si>
  <si>
    <t>TXN-000123</t>
  </si>
  <si>
    <t>PO-2024-00123</t>
  </si>
  <si>
    <t>TXN-000124</t>
  </si>
  <si>
    <t>PO-2025-00124</t>
  </si>
  <si>
    <t>TXN-000125</t>
  </si>
  <si>
    <t>PO-2025-00125</t>
  </si>
  <si>
    <t>TXN-000126</t>
  </si>
  <si>
    <t>PO-2025-00126</t>
  </si>
  <si>
    <t>TXN-000127</t>
  </si>
  <si>
    <t>PO-2025-00127</t>
  </si>
  <si>
    <t>TXN-000128</t>
  </si>
  <si>
    <t>PO-2025-00128</t>
  </si>
  <si>
    <t>TXN-000129</t>
  </si>
  <si>
    <t>PO-2025-00129</t>
  </si>
  <si>
    <t>TXN-000130</t>
  </si>
  <si>
    <t>PO-2024-00130</t>
  </si>
  <si>
    <t>ALDI Procurement Spend Analysis 2024-2025</t>
  </si>
  <si>
    <t>2024 Spend (€)</t>
  </si>
  <si>
    <t>YoY Change %</t>
  </si>
  <si>
    <t>Share of Total %</t>
  </si>
  <si>
    <t>Cardboard</t>
  </si>
  <si>
    <t>SIG Combibloc</t>
  </si>
  <si>
    <t>TOTAL</t>
  </si>
  <si>
    <t>Spend by Category &amp; Region (€)</t>
  </si>
  <si>
    <t>Total</t>
  </si>
  <si>
    <t>Supplier Performance Scorecard</t>
  </si>
  <si>
    <t>Weights: Quality 30% | Delivery 25% | Cost 25% | Innovation 20%</t>
  </si>
  <si>
    <t>Supplier Name</t>
  </si>
  <si>
    <t>Quality Score (1-5)</t>
  </si>
  <si>
    <t>Delivery Performance (%)</t>
  </si>
  <si>
    <t>Cost Competitiveness (1-5)</t>
  </si>
  <si>
    <t>Innovation Score (1-5)</t>
  </si>
  <si>
    <t>Overall Rating</t>
  </si>
  <si>
    <t>Status</t>
  </si>
  <si>
    <t>Hussmann Europe</t>
  </si>
  <si>
    <t>Capgemini</t>
  </si>
  <si>
    <t>ISS A/S</t>
  </si>
  <si>
    <t>Procurement Cost Savings Tracker 2025</t>
  </si>
  <si>
    <t>Initiative ID</t>
  </si>
  <si>
    <t>Initiative Name</t>
  </si>
  <si>
    <t>Baseline Cost (€)</t>
  </si>
  <si>
    <t>Target Cost (€)</t>
  </si>
  <si>
    <t>Actual Cost (€)</t>
  </si>
  <si>
    <t>Savings Achieved (€)</t>
  </si>
  <si>
    <t>Savings %</t>
  </si>
  <si>
    <t>Implementation Date</t>
  </si>
  <si>
    <t>Owner</t>
  </si>
  <si>
    <t>SAV-001</t>
  </si>
  <si>
    <t>Fresh Produce Supplier Consolidation</t>
  </si>
  <si>
    <t>Completed</t>
  </si>
  <si>
    <t>M. Gruber</t>
  </si>
  <si>
    <t>SAV-002</t>
  </si>
  <si>
    <t>Packaging Contract Renegotiation</t>
  </si>
  <si>
    <t>S. Fischer</t>
  </si>
  <si>
    <t>SAV-003</t>
  </si>
  <si>
    <t>Logistics Route Optimization</t>
  </si>
  <si>
    <t>L. Weber</t>
  </si>
  <si>
    <t>SAV-004</t>
  </si>
  <si>
    <t>IT Services Vendor Consolidation</t>
  </si>
  <si>
    <t>K. Müller</t>
  </si>
  <si>
    <t>SAV-005</t>
  </si>
  <si>
    <t>Beverages Strategic Sourcing</t>
  </si>
  <si>
    <t>T. Schmidt</t>
  </si>
  <si>
    <t>SAV-006</t>
  </si>
  <si>
    <t>Store Equipment Spec Optimization</t>
  </si>
  <si>
    <t>A. Wagner</t>
  </si>
  <si>
    <t>SAV-007</t>
  </si>
  <si>
    <t>Packaged Foods Volume Bundling</t>
  </si>
  <si>
    <t>SAV-008</t>
  </si>
  <si>
    <t>Facilities Management Automation</t>
  </si>
  <si>
    <t>SAV-009</t>
  </si>
  <si>
    <t>Marketing Digital Transition</t>
  </si>
  <si>
    <t>SAV-010</t>
  </si>
  <si>
    <t>Dairy Supply Chain Optimization</t>
  </si>
  <si>
    <t>SAV-011</t>
  </si>
  <si>
    <t>Packaging Material Substitution</t>
  </si>
  <si>
    <t>SAV-012</t>
  </si>
  <si>
    <t>Beverage Contract Renewal</t>
  </si>
  <si>
    <t>In Progress</t>
  </si>
  <si>
    <t>SAV-013</t>
  </si>
  <si>
    <t>Logistics Fleet Consolidation</t>
  </si>
  <si>
    <t>SAV-014</t>
  </si>
  <si>
    <t>Frozen Foods Demand Planning</t>
  </si>
  <si>
    <t>SAV-015</t>
  </si>
  <si>
    <t>Equipment Leasing Renegotiation</t>
  </si>
  <si>
    <t>SAV-016</t>
  </si>
  <si>
    <t>Cloud Migration Cost Reduction</t>
  </si>
  <si>
    <t>SAV-017</t>
  </si>
  <si>
    <t>Fresh Produce Regional Sourcing</t>
  </si>
  <si>
    <t>—</t>
  </si>
  <si>
    <t>Planned</t>
  </si>
  <si>
    <t>SAV-018</t>
  </si>
  <si>
    <t>Packaging Automation Phase 2</t>
  </si>
  <si>
    <t>SUMMARY</t>
  </si>
  <si>
    <t>Total Baseline Cost (€)</t>
  </si>
  <si>
    <t>Total Savings Achieved (€)</t>
  </si>
  <si>
    <t>Overall Savings Rate</t>
  </si>
  <si>
    <t>Total Savings (€)</t>
  </si>
  <si>
    <t>Business Case Calculator — Procurement Initiative</t>
  </si>
  <si>
    <t>Section 1: Investment Details</t>
  </si>
  <si>
    <t>Logistics Automation Platform</t>
  </si>
  <si>
    <t>Investment Required (€)</t>
  </si>
  <si>
    <t>Implementation Timeline (Months)</t>
  </si>
  <si>
    <t>Discount Rate</t>
  </si>
  <si>
    <t>Section 2: Annual Benefits Projection</t>
  </si>
  <si>
    <t>Benefit Category</t>
  </si>
  <si>
    <t>Year 1</t>
  </si>
  <si>
    <t>Year 2</t>
  </si>
  <si>
    <t>Year 3</t>
  </si>
  <si>
    <t>Year 4</t>
  </si>
  <si>
    <t>Year 5</t>
  </si>
  <si>
    <t>Cost Reduction</t>
  </si>
  <si>
    <t>Efficiency Gains</t>
  </si>
  <si>
    <t>Risk Mitigation Value</t>
  </si>
  <si>
    <t>Total Annual Benefit</t>
  </si>
  <si>
    <t>Section 3: Financial Metrics</t>
  </si>
  <si>
    <t>Year</t>
  </si>
  <si>
    <t>Year 0</t>
  </si>
  <si>
    <t>Cash Flow (€)</t>
  </si>
  <si>
    <t>Cumulative Cash Flow (€)</t>
  </si>
  <si>
    <t>NPV (€)</t>
  </si>
  <si>
    <t>IRR</t>
  </si>
  <si>
    <t>ROI</t>
  </si>
  <si>
    <t>Payback Period (Years)</t>
  </si>
  <si>
    <t>Section 4: Sensitivity Analysis</t>
  </si>
  <si>
    <t>Benefit 80%</t>
  </si>
  <si>
    <t>Benefit 100%</t>
  </si>
  <si>
    <t>Benefit 120%</t>
  </si>
  <si>
    <t>Discount Rate 5%</t>
  </si>
  <si>
    <t>Discount Rate 7%</t>
  </si>
  <si>
    <t>Discount Rate 10%</t>
  </si>
  <si>
    <t>Section 5: Scenario Comparison</t>
  </si>
  <si>
    <t>Metric</t>
  </si>
  <si>
    <t>Best Case</t>
  </si>
  <si>
    <t>Base Case</t>
  </si>
  <si>
    <t>Worst Case</t>
  </si>
  <si>
    <t>Payback (Years)</t>
  </si>
  <si>
    <t>&lt; 3 years</t>
  </si>
  <si>
    <t>&gt; 4 years</t>
  </si>
  <si>
    <t>Budget vs Actual Analysis — FY 2025</t>
  </si>
  <si>
    <t>Q1 Budget (€)</t>
  </si>
  <si>
    <t>Q1 Actual (€)</t>
  </si>
  <si>
    <t>Q1 Variance (€)</t>
  </si>
  <si>
    <t>Q1 Var %</t>
  </si>
  <si>
    <t>Q2 Budget (€)</t>
  </si>
  <si>
    <t>Q2 Actual (€)</t>
  </si>
  <si>
    <t>Q2 Variance (€)</t>
  </si>
  <si>
    <t>Q2 Var %</t>
  </si>
  <si>
    <t>Q3 Budget (€)</t>
  </si>
  <si>
    <t>Q3 Actual (€)</t>
  </si>
  <si>
    <t>Q3 Variance (€)</t>
  </si>
  <si>
    <t>Q3 Var %</t>
  </si>
  <si>
    <t>Q4 Budget (€)</t>
  </si>
  <si>
    <t>Q4 Actual (€)</t>
  </si>
  <si>
    <t>Q4 Variance (€)</t>
  </si>
  <si>
    <t>Q4 Var %</t>
  </si>
  <si>
    <t>Annual Budget (€)</t>
  </si>
  <si>
    <t>Annual Actual (€)</t>
  </si>
  <si>
    <t>Annual Variance (€)</t>
  </si>
  <si>
    <t>Annual Var %</t>
  </si>
  <si>
    <t>Commentary</t>
  </si>
  <si>
    <t>Q4 above budget due to seasonal price increases</t>
  </si>
  <si>
    <t>Q4 higher than planned; holiday inventory build-up</t>
  </si>
  <si>
    <t>Slight overspend in Q2; summer demand exceeded forecast</t>
  </si>
  <si>
    <t>On track; minor Q2 variance from material cost rise</t>
  </si>
  <si>
    <t>Fuel surcharges drove Q3-Q4 overruns</t>
  </si>
  <si>
    <t>Under budget overall; delayed Q3 installations</t>
  </si>
  <si>
    <t>Marginally over in Q1; unplanned cybersecurity upgrade</t>
  </si>
  <si>
    <t>Within tolerance; digital shift savings offset Q2 campaigns</t>
  </si>
  <si>
    <t>Well managed; minor Q4 seasonal maintenance spike</t>
  </si>
  <si>
    <t>Quarter</t>
  </si>
  <si>
    <t>Budget (€)</t>
  </si>
  <si>
    <t>Actual (€)</t>
  </si>
  <si>
    <t>Q1</t>
  </si>
  <si>
    <t>Q2</t>
  </si>
  <si>
    <t>Q3</t>
  </si>
  <si>
    <t>Q4</t>
  </si>
  <si>
    <t>Workbook Documentation &amp; User Guide</t>
  </si>
  <si>
    <t>OVERVIEW</t>
  </si>
  <si>
    <t>This workbook provides a comprehensive procurement performance analytics platform</t>
  </si>
  <si>
    <t>designed for ALDI's Procurement &amp; Performance Insights team. It demonstrates</t>
  </si>
  <si>
    <t>advanced Excel capabilities, procurement domain knowledge, and financial controlling skills.</t>
  </si>
  <si>
    <t>PREPARED BY</t>
  </si>
  <si>
    <t>Mohammed Kaif Ahmed</t>
  </si>
  <si>
    <t>PROGRAMME</t>
  </si>
  <si>
    <t>DATE</t>
  </si>
  <si>
    <t>February 2025</t>
  </si>
  <si>
    <t>TAB DESCRIPTIONS</t>
  </si>
  <si>
    <t>Executive Dashboard</t>
  </si>
  <si>
    <t>High-level KPI summary with interactive charts. All data pulls dynamically from other tabs.</t>
  </si>
  <si>
    <t>Spend Analysis</t>
  </si>
  <si>
    <t>Detailed category and regional spend breakdown with YoY comparisons and pivot summaries.</t>
  </si>
  <si>
    <t>Supplier Scorecard</t>
  </si>
  <si>
    <t>Weighted performance evaluation of 25+ suppliers across Quality, Delivery, Cost, and Innovation.</t>
  </si>
  <si>
    <t>Cost Savings Tracker</t>
  </si>
  <si>
    <t>18 procurement savings initiatives tracked from baseline to achievement with ROI metrics.</t>
  </si>
  <si>
    <t>Business Case Calculator</t>
  </si>
  <si>
    <t>Full NPV/IRR/ROI model with sensitivity analysis and scenario comparison for investment decisions.</t>
  </si>
  <si>
    <t>Budget vs Actual</t>
  </si>
  <si>
    <t>Quarterly budget variance analysis across all procurement categories with commentary.</t>
  </si>
  <si>
    <t>Data Input</t>
  </si>
  <si>
    <t>Raw transaction data (130+ rows) with data validation; feeds all analytical tabs.</t>
  </si>
  <si>
    <t>KEY FORMULAS USED</t>
  </si>
  <si>
    <t>SUMIFS</t>
  </si>
  <si>
    <t>Conditional aggregation across categories, regions, and time periods</t>
  </si>
  <si>
    <t>IFERROR</t>
  </si>
  <si>
    <t>Error handling to prevent division and reference errors</t>
  </si>
  <si>
    <t>NPV / IRR</t>
  </si>
  <si>
    <t>Net Present Value and Internal Rate of Return for business case evaluation</t>
  </si>
  <si>
    <t>INDEX / MATCH</t>
  </si>
  <si>
    <t>Flexible lookups for cross-tab data retrieval</t>
  </si>
  <si>
    <t>Weighted Average</t>
  </si>
  <si>
    <t>(Quality×30%) + (Delivery×25%) + (Cost×25%) + (Innovation×20%)</t>
  </si>
  <si>
    <t>IF / AND / OR</t>
  </si>
  <si>
    <t>Status classification and conditional logic throughout</t>
  </si>
  <si>
    <t>HOW TO USE</t>
  </si>
  <si>
    <t>1. Start with the Executive Dashboard for a high-level overview of procurement performance.</t>
  </si>
  <si>
    <t>2. Drill into Spend Analysis to understand category and regional spending patterns.</t>
  </si>
  <si>
    <t>3. Review Supplier Scorecard to identify top performers and suppliers needing review.</t>
  </si>
  <si>
    <t>4. Use Cost Savings Tracker to monitor initiative progress against targets.</t>
  </si>
  <si>
    <t>5. Leverage Business Case Calculator for new procurement investment decisions.</t>
  </si>
  <si>
    <t>6. Check Budget vs Actual for financial controlling and variance management.</t>
  </si>
  <si>
    <t>7. Update Data Input tab to refresh all analytics automatically.</t>
  </si>
  <si>
    <t>Strategy Management — Dublin City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</si>
</sst>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"/>
    <numFmt numFmtId="165" formatCode="0.0%"/>
    <numFmt numFmtId="166" formatCode="0.0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666666"/>
      <name val="Arial"/>
      <charset val="1"/>
    </font>
    <font>
      <sz val="9"/>
      <color rgb="FF404040"/>
      <name val="Arial"/>
      <charset val="1"/>
    </font>
    <font>
      <b/>
      <sz val="20"/>
      <color rgb="FF0D3B66"/>
      <name val="Arial"/>
      <charset val="1"/>
    </font>
    <font>
      <b/>
      <sz val="10"/>
      <color rgb="FF404040"/>
      <name val="Arial"/>
      <charset val="1"/>
    </font>
    <font>
      <sz val="10"/>
      <color rgb="FF404040"/>
      <name val="Arial"/>
      <charset val="1"/>
    </font>
    <font>
      <b/>
      <sz val="11"/>
      <color rgb="FFFFFFFF"/>
      <name val="Arial"/>
      <charset val="1"/>
    </font>
    <font>
      <b/>
      <sz val="16"/>
      <color rgb="FF0D3B66"/>
      <name val="Arial"/>
      <charset val="1"/>
    </font>
    <font>
      <b/>
      <sz val="12"/>
      <color rgb="FF0D3B66"/>
      <name val="Arial"/>
      <charset val="1"/>
    </font>
    <font>
      <sz val="10"/>
      <color rgb="FF0000FF"/>
      <name val="Arial"/>
      <charset val="1"/>
    </font>
    <font>
      <b/>
      <sz val="11"/>
      <color rgb="FF0D3B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D3B66"/>
        <bgColor rgb="FF2C3E50"/>
      </patternFill>
    </fill>
    <fill>
      <patternFill patternType="solid">
        <fgColor rgb="FFF2F2F2"/>
        <bgColor rgb="FFF9F9F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9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4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6" fillId="0" borderId="1" xfId="0" applyFont="1" applyBorder="1"/>
    <xf numFmtId="164" fontId="5" fillId="0" borderId="1" xfId="0" applyNumberFormat="1" applyFont="1" applyBorder="1"/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165" fontId="4" fillId="0" borderId="1" xfId="0" applyNumberFormat="1" applyFont="1" applyBorder="1"/>
    <xf numFmtId="164" fontId="0" fillId="0" borderId="1" xfId="0" applyNumberFormat="1" applyBorder="1"/>
    <xf numFmtId="0" fontId="10" fillId="4" borderId="1" xfId="0" applyFont="1" applyFill="1" applyBorder="1"/>
    <xf numFmtId="164" fontId="10" fillId="4" borderId="1" xfId="0" applyNumberFormat="1" applyFont="1" applyFill="1" applyBorder="1"/>
    <xf numFmtId="165" fontId="10" fillId="4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164" fontId="0" fillId="5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3" borderId="1" xfId="0" applyFont="1" applyFill="1" applyBorder="1"/>
    <xf numFmtId="164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2" fillId="0" borderId="0" xfId="0" applyFont="1"/>
  </cellXfs>
  <cellStyles count="1">
    <cellStyle name="Normal" xfId="0" builtinId="0"/>
  </cellStyles>
  <dxfs count="17">
    <dxf>
      <font>
        <color rgb="FFE74C3C"/>
      </font>
      <fill>
        <patternFill>
          <bgColor rgb="FFFADBD8"/>
        </patternFill>
      </fill>
    </dxf>
    <dxf>
      <font>
        <color rgb="FF27AE60"/>
      </font>
      <fill>
        <patternFill>
          <bgColor rgb="FFD5F5E3"/>
        </patternFill>
      </fill>
    </dxf>
    <dxf>
      <font>
        <color rgb="FFE74C3C"/>
      </font>
      <fill>
        <patternFill>
          <bgColor rgb="FFFADBD8"/>
        </patternFill>
      </fill>
    </dxf>
    <dxf>
      <font>
        <color rgb="FF27AE60"/>
      </font>
      <fill>
        <patternFill>
          <bgColor rgb="FFD5F5E3"/>
        </patternFill>
      </fill>
    </dxf>
    <dxf>
      <font>
        <color rgb="FFE74C3C"/>
      </font>
      <fill>
        <patternFill>
          <bgColor rgb="FFFADBD8"/>
        </patternFill>
      </fill>
    </dxf>
    <dxf>
      <font>
        <color rgb="FF27AE60"/>
      </font>
      <fill>
        <patternFill>
          <bgColor rgb="FFD5F5E3"/>
        </patternFill>
      </fill>
    </dxf>
    <dxf>
      <font>
        <color rgb="FFE74C3C"/>
      </font>
      <fill>
        <patternFill>
          <bgColor rgb="FFFADBD8"/>
        </patternFill>
      </fill>
    </dxf>
    <dxf>
      <font>
        <color rgb="FF27AE60"/>
      </font>
      <fill>
        <patternFill>
          <bgColor rgb="FFD5F5E3"/>
        </patternFill>
      </fill>
    </dxf>
    <dxf>
      <font>
        <color rgb="FFE74C3C"/>
      </font>
      <fill>
        <patternFill>
          <bgColor rgb="FFFADBD8"/>
        </patternFill>
      </fill>
    </dxf>
    <dxf>
      <font>
        <color rgb="FF27AE60"/>
      </font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D6EAF8"/>
        </patternFill>
      </fill>
    </dxf>
    <dxf>
      <fill>
        <patternFill>
          <bgColor rgb="FFFEF9E7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672A8"/>
      <rgbColor rgb="FFB8CD97"/>
      <rgbColor rgb="FF878787"/>
      <rgbColor rgb="FF93A9CE"/>
      <rgbColor rgb="FFAB4744"/>
      <rgbColor rgb="FFFEF9E7"/>
      <rgbColor rgb="FFD6EAF8"/>
      <rgbColor rgb="FF660066"/>
      <rgbColor rgb="FFDC853E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D5F5E3"/>
      <rgbColor rgb="FFF9F9F9"/>
      <rgbColor rgb="FF99CCFF"/>
      <rgbColor rgb="FFD09493"/>
      <rgbColor rgb="FFCC99FF"/>
      <rgbColor rgb="FFFADBD8"/>
      <rgbColor rgb="FF4A7EBB"/>
      <rgbColor rgb="FF4299B0"/>
      <rgbColor rgb="FF99CC00"/>
      <rgbColor rgb="FFFFCC00"/>
      <rgbColor rgb="FFF39C12"/>
      <rgbColor rgb="FFE74C3C"/>
      <rgbColor rgb="FF725990"/>
      <rgbColor rgb="FF95A5A6"/>
      <rgbColor rgb="FF0D3B66"/>
      <rgbColor rgb="FF27AE60"/>
      <rgbColor rgb="FF003300"/>
      <rgbColor rgb="FF666666"/>
      <rgbColor rgb="FF993300"/>
      <rgbColor rgb="FFC0504D"/>
      <rgbColor rgb="FF2C3E5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Suppliers by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Dashboard'!$B$19</c:f>
              <c:strCache>
                <c:ptCount val="1"/>
                <c:pt idx="0">
                  <c:v>Spend (€)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Dashboard'!$A$20:$A$29</c:f>
              <c:strCache>
                <c:ptCount val="10"/>
                <c:pt idx="0">
                  <c:v>Ülker Bisküvi</c:v>
                </c:pt>
                <c:pt idx="1">
                  <c:v>Frutura Group</c:v>
                </c:pt>
                <c:pt idx="2">
                  <c:v>Greenyard NV</c:v>
                </c:pt>
                <c:pt idx="3">
                  <c:v>Bel Group</c:v>
                </c:pt>
                <c:pt idx="4">
                  <c:v>Smurfit Kappa</c:v>
                </c:pt>
                <c:pt idx="5">
                  <c:v>Univeg Trade</c:v>
                </c:pt>
                <c:pt idx="6">
                  <c:v>Refresco Group</c:v>
                </c:pt>
                <c:pt idx="7">
                  <c:v>Barilla Group</c:v>
                </c:pt>
                <c:pt idx="8">
                  <c:v>Rauch Fruchtsäfte</c:v>
                </c:pt>
                <c:pt idx="9">
                  <c:v>Müller Fresh Foods</c:v>
                </c:pt>
              </c:strCache>
            </c:strRef>
          </c:cat>
          <c:val>
            <c:numRef>
              <c:f>'Executive Dashboard'!$B$20:$B$29</c:f>
              <c:numCache>
                <c:formatCode>\€#,##0</c:formatCode>
                <c:ptCount val="10"/>
                <c:pt idx="0">
                  <c:v>4336145</c:v>
                </c:pt>
                <c:pt idx="1">
                  <c:v>7255420</c:v>
                </c:pt>
                <c:pt idx="2">
                  <c:v>7518278</c:v>
                </c:pt>
                <c:pt idx="3">
                  <c:v>1569723</c:v>
                </c:pt>
                <c:pt idx="4">
                  <c:v>384066</c:v>
                </c:pt>
                <c:pt idx="5">
                  <c:v>5201461</c:v>
                </c:pt>
                <c:pt idx="6">
                  <c:v>1370317</c:v>
                </c:pt>
                <c:pt idx="7">
                  <c:v>3199951</c:v>
                </c:pt>
                <c:pt idx="8">
                  <c:v>628423</c:v>
                </c:pt>
                <c:pt idx="9">
                  <c:v>918922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E-4D67-8346-EE9110717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21078"/>
        <c:axId val="64856752"/>
      </c:barChart>
      <c:catAx>
        <c:axId val="9372107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56752"/>
        <c:crosses val="autoZero"/>
        <c:auto val="1"/>
        <c:lblAlgn val="ctr"/>
        <c:lblOffset val="100"/>
        <c:noMultiLvlLbl val="0"/>
      </c:catAx>
      <c:valAx>
        <c:axId val="648567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21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Spend Trend —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Dashboard'!$B$31</c:f>
              <c:strCache>
                <c:ptCount val="1"/>
                <c:pt idx="0">
                  <c:v>Spend (€)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Dashboard'!$A$32:$A$43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Dashboard'!$B$32:$B$43</c:f>
              <c:numCache>
                <c:formatCode>\€#,##0</c:formatCode>
                <c:ptCount val="12"/>
                <c:pt idx="0">
                  <c:v>4500000</c:v>
                </c:pt>
                <c:pt idx="1">
                  <c:v>6000000</c:v>
                </c:pt>
                <c:pt idx="2">
                  <c:v>2500000</c:v>
                </c:pt>
                <c:pt idx="3">
                  <c:v>3000000</c:v>
                </c:pt>
                <c:pt idx="4">
                  <c:v>3500000</c:v>
                </c:pt>
                <c:pt idx="5">
                  <c:v>2500000</c:v>
                </c:pt>
                <c:pt idx="6">
                  <c:v>2500000</c:v>
                </c:pt>
                <c:pt idx="7">
                  <c:v>4000000</c:v>
                </c:pt>
                <c:pt idx="8">
                  <c:v>2500000</c:v>
                </c:pt>
                <c:pt idx="9">
                  <c:v>4500000</c:v>
                </c:pt>
                <c:pt idx="10">
                  <c:v>3000000</c:v>
                </c:pt>
                <c:pt idx="11">
                  <c:v>3500000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6E-4C13-AEB9-875D9C63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84839"/>
        <c:axId val="7024721"/>
      </c:lineChart>
      <c:catAx>
        <c:axId val="321848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4721"/>
        <c:crosses val="autoZero"/>
        <c:auto val="1"/>
        <c:lblAlgn val="ctr"/>
        <c:lblOffset val="100"/>
        <c:noMultiLvlLbl val="0"/>
      </c:catAx>
      <c:valAx>
        <c:axId val="7024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Spend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84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Savings by Initiative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Dashboard'!$B$45</c:f>
              <c:strCache>
                <c:ptCount val="1"/>
                <c:pt idx="0">
                  <c:v>Savings (€)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Dashboard'!$A$46:$A$51</c:f>
              <c:strCache>
                <c:ptCount val="6"/>
                <c:pt idx="0">
                  <c:v>Supplier Consolidation</c:v>
                </c:pt>
                <c:pt idx="1">
                  <c:v>Contract Renegotiation</c:v>
                </c:pt>
                <c:pt idx="2">
                  <c:v>Process Automation</c:v>
                </c:pt>
                <c:pt idx="3">
                  <c:v>Strategic Sourcing</c:v>
                </c:pt>
                <c:pt idx="4">
                  <c:v>Demand Management</c:v>
                </c:pt>
                <c:pt idx="5">
                  <c:v>Specification Optimization</c:v>
                </c:pt>
              </c:strCache>
            </c:strRef>
          </c:cat>
          <c:val>
            <c:numRef>
              <c:f>'Executive Dashboard'!$B$46:$B$51</c:f>
              <c:numCache>
                <c:formatCode>\€#,##0</c:formatCode>
                <c:ptCount val="6"/>
                <c:pt idx="0">
                  <c:v>2120000</c:v>
                </c:pt>
                <c:pt idx="1">
                  <c:v>1000000</c:v>
                </c:pt>
                <c:pt idx="2">
                  <c:v>1270000</c:v>
                </c:pt>
                <c:pt idx="3">
                  <c:v>3150000</c:v>
                </c:pt>
                <c:pt idx="4">
                  <c:v>800000</c:v>
                </c:pt>
                <c:pt idx="5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F-4AA9-8ADB-2576E380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98752"/>
        <c:axId val="55234364"/>
      </c:barChart>
      <c:catAx>
        <c:axId val="98698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234364"/>
        <c:crosses val="autoZero"/>
        <c:auto val="1"/>
        <c:lblAlgn val="ctr"/>
        <c:lblOffset val="100"/>
        <c:noMultiLvlLbl val="0"/>
      </c:catAx>
      <c:valAx>
        <c:axId val="552343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98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Savings by Initiative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Savings Tracker'!$B$28</c:f>
              <c:strCache>
                <c:ptCount val="1"/>
                <c:pt idx="0">
                  <c:v>Total Savings (€)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Savings Tracker'!$A$29:$A$34</c:f>
              <c:strCache>
                <c:ptCount val="6"/>
                <c:pt idx="0">
                  <c:v>Supplier Consolidation</c:v>
                </c:pt>
                <c:pt idx="1">
                  <c:v>Contract Renegotiation</c:v>
                </c:pt>
                <c:pt idx="2">
                  <c:v>Process Automation</c:v>
                </c:pt>
                <c:pt idx="3">
                  <c:v>Strategic Sourcing</c:v>
                </c:pt>
                <c:pt idx="4">
                  <c:v>Demand Management</c:v>
                </c:pt>
                <c:pt idx="5">
                  <c:v>Specification Optimization</c:v>
                </c:pt>
              </c:strCache>
            </c:strRef>
          </c:cat>
          <c:val>
            <c:numRef>
              <c:f>'Cost Savings Tracker'!$B$29:$B$34</c:f>
              <c:numCache>
                <c:formatCode>\€#,##0</c:formatCode>
                <c:ptCount val="6"/>
                <c:pt idx="0">
                  <c:v>2120000</c:v>
                </c:pt>
                <c:pt idx="1">
                  <c:v>1000000</c:v>
                </c:pt>
                <c:pt idx="2">
                  <c:v>1270000</c:v>
                </c:pt>
                <c:pt idx="3">
                  <c:v>3150000</c:v>
                </c:pt>
                <c:pt idx="4">
                  <c:v>800000</c:v>
                </c:pt>
                <c:pt idx="5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D-4363-AD1E-ED317631D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745453"/>
        <c:axId val="48258954"/>
      </c:barChart>
      <c:catAx>
        <c:axId val="94745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Initiative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58954"/>
        <c:crosses val="autoZero"/>
        <c:auto val="1"/>
        <c:lblAlgn val="ctr"/>
        <c:lblOffset val="100"/>
        <c:noMultiLvlLbl val="0"/>
      </c:catAx>
      <c:valAx>
        <c:axId val="48258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Savings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454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Budget vs Actual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Actual'!$B$15</c:f>
              <c:strCache>
                <c:ptCount val="1"/>
                <c:pt idx="0">
                  <c:v>Budget (€)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Actual'!$A$16:$A$19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'Budget vs Actual'!$B$16:$B$19</c:f>
              <c:numCache>
                <c:formatCode>\€#,##0</c:formatCode>
                <c:ptCount val="4"/>
                <c:pt idx="0">
                  <c:v>42800000</c:v>
                </c:pt>
                <c:pt idx="1">
                  <c:v>41800000</c:v>
                </c:pt>
                <c:pt idx="2">
                  <c:v>44350000</c:v>
                </c:pt>
                <c:pt idx="3">
                  <c:v>47100000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9-4AC8-8315-43C6C635F37C}"/>
            </c:ext>
          </c:extLst>
        </c:ser>
        <c:ser>
          <c:idx val="1"/>
          <c:order val="1"/>
          <c:tx>
            <c:strRef>
              <c:f>'Budget vs Actual'!$C$15</c:f>
              <c:strCache>
                <c:ptCount val="1"/>
                <c:pt idx="0">
                  <c:v>Actual (€)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Actual'!$A$16:$A$19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'Budget vs Actual'!$C$16:$C$19</c:f>
              <c:numCache>
                <c:formatCode>\€#,##0</c:formatCode>
                <c:ptCount val="4"/>
                <c:pt idx="0">
                  <c:v>42880000</c:v>
                </c:pt>
                <c:pt idx="1">
                  <c:v>42000000</c:v>
                </c:pt>
                <c:pt idx="2">
                  <c:v>44330000</c:v>
                </c:pt>
                <c:pt idx="3">
                  <c:v>48830000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9-4AC8-8315-43C6C635F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54760"/>
        <c:axId val="7155519"/>
      </c:barChart>
      <c:catAx>
        <c:axId val="83554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5519"/>
        <c:crosses val="autoZero"/>
        <c:auto val="1"/>
        <c:lblAlgn val="ctr"/>
        <c:lblOffset val="100"/>
        <c:noMultiLvlLbl val="0"/>
      </c:catAx>
      <c:valAx>
        <c:axId val="7155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54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Spend by Category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cap="all" spc="150" baseline="0">
              <a:solidFill>
                <a:srgbClr val="000000">
                  <a:lumMod val="50000"/>
                  <a:lumOff val="50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IN" sz="1800" b="1" i="0" u="none" strike="noStrike" kern="1200" cap="all" spc="150" normalizeH="0" baseline="0" noProof="0">
              <a:ln>
                <a:noFill/>
              </a:ln>
              <a:solidFill>
                <a:srgbClr val="000000">
                  <a:lumMod val="50000"/>
                  <a:lumOff val="50000"/>
                </a:srgbClr>
              </a:solidFill>
              <a:effectLst/>
              <a:uLnTx/>
              <a:uFillTx/>
              <a:latin typeface="Calibri"/>
            </a:rPr>
            <a:t>Spend by Category</a:t>
          </a:r>
        </a:p>
      </cx:txPr>
    </cx:title>
    <cx:plotArea>
      <cx:plotAreaRegion>
        <cx:series layoutId="sunburst" uniqueId="{BEE2F8FB-B9AC-48CA-95C9-8B0F769EEE5F}">
          <cx:tx>
            <cx:txData>
              <cx:f>_xlchart.v1.1</cx:f>
              <cx:v>2025 Spend (€)</cx:v>
            </cx:txData>
          </cx:tx>
          <cx:dataId val="0"/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kern="1200" baseline="0">
            <a:solidFill>
              <a:srgbClr val="000000">
                <a:lumMod val="65000"/>
                <a:lumOff val="35000"/>
              </a:srgb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30</xdr:row>
      <xdr:rowOff>101040</xdr:rowOff>
    </xdr:from>
    <xdr:to>
      <xdr:col>7</xdr:col>
      <xdr:colOff>791160</xdr:colOff>
      <xdr:row>53</xdr:row>
      <xdr:rowOff>54000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7960" y="5899860"/>
              <a:ext cx="5607000" cy="431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259080</xdr:colOff>
      <xdr:row>6</xdr:row>
      <xdr:rowOff>131520</xdr:rowOff>
    </xdr:from>
    <xdr:to>
      <xdr:col>7</xdr:col>
      <xdr:colOff>806280</xdr:colOff>
      <xdr:row>29</xdr:row>
      <xdr:rowOff>69240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45720</xdr:colOff>
      <xdr:row>30</xdr:row>
      <xdr:rowOff>55320</xdr:rowOff>
    </xdr:from>
    <xdr:to>
      <xdr:col>13</xdr:col>
      <xdr:colOff>714960</xdr:colOff>
      <xdr:row>52</xdr:row>
      <xdr:rowOff>130200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15240</xdr:colOff>
      <xdr:row>6</xdr:row>
      <xdr:rowOff>146760</xdr:rowOff>
    </xdr:from>
    <xdr:to>
      <xdr:col>13</xdr:col>
      <xdr:colOff>699600</xdr:colOff>
      <xdr:row>29</xdr:row>
      <xdr:rowOff>23520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171000</xdr:rowOff>
    </xdr:from>
    <xdr:to>
      <xdr:col>8</xdr:col>
      <xdr:colOff>432720</xdr:colOff>
      <xdr:row>42</xdr:row>
      <xdr:rowOff>179280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185760</xdr:rowOff>
    </xdr:from>
    <xdr:to>
      <xdr:col>7</xdr:col>
      <xdr:colOff>729720</xdr:colOff>
      <xdr:row>37</xdr:row>
      <xdr:rowOff>123840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6"/>
  </sheetPr>
  <dimension ref="A1:N51"/>
  <sheetViews>
    <sheetView showGridLines="0" topLeftCell="A5" zoomScale="66" zoomScaleNormal="100" workbookViewId="0">
      <selection activeCell="R14" sqref="R14"/>
    </sheetView>
  </sheetViews>
  <sheetFormatPr defaultColWidth="8.6640625" defaultRowHeight="14.4" x14ac:dyDescent="0.3"/>
  <cols>
    <col min="1" max="1" width="20" customWidth="1"/>
    <col min="2" max="2" width="16" customWidth="1"/>
    <col min="3" max="3" width="14" customWidth="1"/>
    <col min="4" max="4" width="16" customWidth="1"/>
    <col min="5" max="6" width="14" customWidth="1"/>
    <col min="7" max="7" width="16" customWidth="1"/>
    <col min="8" max="9" width="14" customWidth="1"/>
    <col min="10" max="10" width="16" customWidth="1"/>
    <col min="11" max="14" width="14" customWidth="1"/>
  </cols>
  <sheetData>
    <row r="1" spans="1:14" ht="1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5" customHeigh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15" customHeight="1" x14ac:dyDescent="0.3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5" spans="1:14" ht="15" customHeight="1" x14ac:dyDescent="0.3">
      <c r="A5" s="48" t="s">
        <v>2</v>
      </c>
      <c r="B5" s="48"/>
      <c r="C5" s="48"/>
      <c r="D5" s="48" t="s">
        <v>3</v>
      </c>
      <c r="E5" s="48"/>
      <c r="F5" s="48"/>
      <c r="G5" s="48" t="s">
        <v>4</v>
      </c>
      <c r="H5" s="48"/>
      <c r="I5" s="48"/>
      <c r="J5" s="48" t="s">
        <v>5</v>
      </c>
      <c r="K5" s="48"/>
      <c r="L5" s="48"/>
    </row>
    <row r="6" spans="1:14" ht="24" customHeight="1" x14ac:dyDescent="0.3">
      <c r="A6" s="43">
        <f>'Budget vs Actual'!S13</f>
        <v>178040000</v>
      </c>
      <c r="B6" s="43"/>
      <c r="C6" s="43"/>
      <c r="D6" s="44">
        <f>'Cost Savings Tracker'!B26</f>
        <v>7.7874564459930309E-2</v>
      </c>
      <c r="E6" s="44"/>
      <c r="F6" s="44"/>
      <c r="G6" s="45">
        <f>AVERAGE('Supplier Scorecard'!H4:H37)</f>
        <v>3.8205882352941187</v>
      </c>
      <c r="H6" s="45"/>
      <c r="I6" s="45"/>
      <c r="J6" s="44">
        <f>'Budget vs Actual'!U13</f>
        <v>1.1303606929849474E-2</v>
      </c>
      <c r="K6" s="44"/>
      <c r="L6" s="44"/>
    </row>
    <row r="8" spans="1:14" ht="15" customHeight="1" x14ac:dyDescent="0.3">
      <c r="A8" s="2" t="s">
        <v>6</v>
      </c>
      <c r="B8" s="2" t="s">
        <v>7</v>
      </c>
    </row>
    <row r="9" spans="1:14" ht="15" customHeight="1" x14ac:dyDescent="0.3">
      <c r="A9" s="3" t="s">
        <v>8</v>
      </c>
      <c r="B9" s="4">
        <f>SUMIFS('Spend Analysis'!F$4:F$38,'Spend Analysis'!A$4:A$38,A9)</f>
        <v>27609331</v>
      </c>
    </row>
    <row r="10" spans="1:14" ht="15" customHeight="1" x14ac:dyDescent="0.3">
      <c r="A10" s="3" t="s">
        <v>9</v>
      </c>
      <c r="B10" s="4">
        <f>SUMIFS('Spend Analysis'!F$4:F$38,'Spend Analysis'!A$4:A$38,A10)</f>
        <v>16300433</v>
      </c>
    </row>
    <row r="11" spans="1:14" ht="15" customHeight="1" x14ac:dyDescent="0.3">
      <c r="A11" s="3" t="s">
        <v>10</v>
      </c>
      <c r="B11" s="4">
        <f>SUMIFS('Spend Analysis'!F$4:F$38,'Spend Analysis'!A$4:A$38,A11)</f>
        <v>6552356</v>
      </c>
    </row>
    <row r="12" spans="1:14" ht="15" customHeight="1" x14ac:dyDescent="0.3">
      <c r="A12" s="3" t="s">
        <v>11</v>
      </c>
      <c r="B12" s="4">
        <f>SUMIFS('Spend Analysis'!F$4:F$38,'Spend Analysis'!A$4:A$38,A12)</f>
        <v>4665483</v>
      </c>
    </row>
    <row r="13" spans="1:14" ht="15" customHeight="1" x14ac:dyDescent="0.3">
      <c r="A13" s="3" t="s">
        <v>12</v>
      </c>
      <c r="B13" s="4">
        <f>SUMIFS('Spend Analysis'!F$4:F$38,'Spend Analysis'!A$4:A$38,A13)</f>
        <v>2958253</v>
      </c>
    </row>
    <row r="14" spans="1:14" ht="15" customHeight="1" x14ac:dyDescent="0.3">
      <c r="A14" s="3" t="s">
        <v>13</v>
      </c>
      <c r="B14" s="4">
        <f>SUMIFS('Spend Analysis'!F$4:F$38,'Spend Analysis'!A$4:A$38,A14)</f>
        <v>0</v>
      </c>
    </row>
    <row r="15" spans="1:14" ht="15" customHeight="1" x14ac:dyDescent="0.3">
      <c r="A15" s="3" t="s">
        <v>14</v>
      </c>
      <c r="B15" s="4">
        <f>SUMIFS('Spend Analysis'!F$4:F$38,'Spend Analysis'!A$4:A$38,A15)</f>
        <v>0</v>
      </c>
    </row>
    <row r="16" spans="1:14" ht="15" customHeight="1" x14ac:dyDescent="0.3">
      <c r="A16" s="3" t="s">
        <v>15</v>
      </c>
      <c r="B16" s="4">
        <f>SUMIFS('Spend Analysis'!F$4:F$38,'Spend Analysis'!A$4:A$38,A16)</f>
        <v>0</v>
      </c>
    </row>
    <row r="17" spans="1:2" ht="15" customHeight="1" x14ac:dyDescent="0.3">
      <c r="A17" s="3" t="s">
        <v>16</v>
      </c>
      <c r="B17" s="4">
        <f>SUMIFS('Spend Analysis'!F$4:F$38,'Spend Analysis'!A$4:A$38,A17)</f>
        <v>0</v>
      </c>
    </row>
    <row r="19" spans="1:2" ht="15" customHeight="1" x14ac:dyDescent="0.3">
      <c r="A19" s="2" t="s">
        <v>17</v>
      </c>
      <c r="B19" s="2" t="s">
        <v>18</v>
      </c>
    </row>
    <row r="20" spans="1:2" ht="15" customHeight="1" x14ac:dyDescent="0.3">
      <c r="A20" s="3" t="s">
        <v>19</v>
      </c>
      <c r="B20" s="5">
        <f>SUMIFS('Spend Analysis'!F$4:F$38,'Spend Analysis'!C$4:C$38,A20)</f>
        <v>4336145</v>
      </c>
    </row>
    <row r="21" spans="1:2" ht="15" customHeight="1" x14ac:dyDescent="0.3">
      <c r="A21" s="3" t="s">
        <v>20</v>
      </c>
      <c r="B21" s="5">
        <f>SUMIFS('Spend Analysis'!F$4:F$38,'Spend Analysis'!C$4:C$38,A21)</f>
        <v>7255420</v>
      </c>
    </row>
    <row r="22" spans="1:2" ht="15" customHeight="1" x14ac:dyDescent="0.3">
      <c r="A22" s="3" t="s">
        <v>21</v>
      </c>
      <c r="B22" s="5">
        <f>SUMIFS('Spend Analysis'!F$4:F$38,'Spend Analysis'!C$4:C$38,A22)</f>
        <v>7518278</v>
      </c>
    </row>
    <row r="23" spans="1:2" ht="15" customHeight="1" x14ac:dyDescent="0.3">
      <c r="A23" s="3" t="s">
        <v>22</v>
      </c>
      <c r="B23" s="5">
        <f>SUMIFS('Spend Analysis'!F$4:F$38,'Spend Analysis'!C$4:C$38,A23)</f>
        <v>1569723</v>
      </c>
    </row>
    <row r="24" spans="1:2" ht="15" customHeight="1" x14ac:dyDescent="0.3">
      <c r="A24" s="3" t="s">
        <v>23</v>
      </c>
      <c r="B24" s="5">
        <f>SUMIFS('Spend Analysis'!F$4:F$38,'Spend Analysis'!C$4:C$38,A24)</f>
        <v>384066</v>
      </c>
    </row>
    <row r="25" spans="1:2" ht="15" customHeight="1" x14ac:dyDescent="0.3">
      <c r="A25" s="3" t="s">
        <v>24</v>
      </c>
      <c r="B25" s="5">
        <f>SUMIFS('Spend Analysis'!F$4:F$38,'Spend Analysis'!C$4:C$38,A25)</f>
        <v>5201461</v>
      </c>
    </row>
    <row r="26" spans="1:2" ht="15" customHeight="1" x14ac:dyDescent="0.3">
      <c r="A26" s="3" t="s">
        <v>25</v>
      </c>
      <c r="B26" s="5">
        <f>SUMIFS('Spend Analysis'!F$4:F$38,'Spend Analysis'!C$4:C$38,A26)</f>
        <v>1370317</v>
      </c>
    </row>
    <row r="27" spans="1:2" ht="15" customHeight="1" x14ac:dyDescent="0.3">
      <c r="A27" s="3" t="s">
        <v>26</v>
      </c>
      <c r="B27" s="5">
        <f>SUMIFS('Spend Analysis'!F$4:F$38,'Spend Analysis'!C$4:C$38,A27)</f>
        <v>3199951</v>
      </c>
    </row>
    <row r="28" spans="1:2" ht="15" customHeight="1" x14ac:dyDescent="0.3">
      <c r="A28" s="3" t="s">
        <v>27</v>
      </c>
      <c r="B28" s="5">
        <f>SUMIFS('Spend Analysis'!F$4:F$38,'Spend Analysis'!C$4:C$38,A28)</f>
        <v>628423</v>
      </c>
    </row>
    <row r="29" spans="1:2" ht="15" customHeight="1" x14ac:dyDescent="0.3">
      <c r="A29" s="3" t="s">
        <v>28</v>
      </c>
      <c r="B29" s="5">
        <f>SUMIFS('Spend Analysis'!F$4:F$38,'Spend Analysis'!C$4:C$38,A29)</f>
        <v>918922</v>
      </c>
    </row>
    <row r="31" spans="1:2" ht="15" customHeight="1" x14ac:dyDescent="0.3">
      <c r="A31" s="2" t="s">
        <v>29</v>
      </c>
      <c r="B31" s="2" t="s">
        <v>18</v>
      </c>
    </row>
    <row r="32" spans="1:2" ht="15" customHeight="1" x14ac:dyDescent="0.3">
      <c r="A32" s="3" t="s">
        <v>30</v>
      </c>
      <c r="B32" s="5">
        <f>SUMIFS('Data Input'!G:G,'Data Input'!B:B,"&gt;="&amp;DATE(2025,1,1),'Data Input'!B:B,"&lt;"&amp;DATE(2025,2,1))</f>
        <v>4500000</v>
      </c>
    </row>
    <row r="33" spans="1:2" ht="15" customHeight="1" x14ac:dyDescent="0.3">
      <c r="A33" s="3" t="s">
        <v>31</v>
      </c>
      <c r="B33" s="5">
        <f>SUMIFS('Data Input'!G:G,'Data Input'!B:B,"&gt;="&amp;DATE(2025,2,1),'Data Input'!B:B,"&lt;"&amp;DATE(2025,3,1))</f>
        <v>6000000</v>
      </c>
    </row>
    <row r="34" spans="1:2" ht="15" customHeight="1" x14ac:dyDescent="0.3">
      <c r="A34" s="3" t="s">
        <v>32</v>
      </c>
      <c r="B34" s="5">
        <f>SUMIFS('Data Input'!G:G,'Data Input'!B:B,"&gt;="&amp;DATE(2025,3,1),'Data Input'!B:B,"&lt;"&amp;DATE(2025,4,1))</f>
        <v>2500000</v>
      </c>
    </row>
    <row r="35" spans="1:2" ht="15" customHeight="1" x14ac:dyDescent="0.3">
      <c r="A35" s="3" t="s">
        <v>33</v>
      </c>
      <c r="B35" s="5">
        <f>SUMIFS('Data Input'!G:G,'Data Input'!B:B,"&gt;="&amp;DATE(2025,4,1),'Data Input'!B:B,"&lt;"&amp;DATE(2025,5,1))</f>
        <v>3000000</v>
      </c>
    </row>
    <row r="36" spans="1:2" ht="15" customHeight="1" x14ac:dyDescent="0.3">
      <c r="A36" s="3" t="s">
        <v>34</v>
      </c>
      <c r="B36" s="5">
        <f>SUMIFS('Data Input'!G:G,'Data Input'!B:B,"&gt;="&amp;DATE(2025,5,1),'Data Input'!B:B,"&lt;"&amp;DATE(2025,6,1))</f>
        <v>3500000</v>
      </c>
    </row>
    <row r="37" spans="1:2" ht="15" customHeight="1" x14ac:dyDescent="0.3">
      <c r="A37" s="3" t="s">
        <v>35</v>
      </c>
      <c r="B37" s="5">
        <f>SUMIFS('Data Input'!G:G,'Data Input'!B:B,"&gt;="&amp;DATE(2025,6,1),'Data Input'!B:B,"&lt;"&amp;DATE(2025,7,1))</f>
        <v>2500000</v>
      </c>
    </row>
    <row r="38" spans="1:2" ht="15" customHeight="1" x14ac:dyDescent="0.3">
      <c r="A38" s="3" t="s">
        <v>36</v>
      </c>
      <c r="B38" s="5">
        <f>SUMIFS('Data Input'!G:G,'Data Input'!B:B,"&gt;="&amp;DATE(2025,7,1),'Data Input'!B:B,"&lt;"&amp;DATE(2025,8,1))</f>
        <v>2500000</v>
      </c>
    </row>
    <row r="39" spans="1:2" ht="15" customHeight="1" x14ac:dyDescent="0.3">
      <c r="A39" s="3" t="s">
        <v>37</v>
      </c>
      <c r="B39" s="5">
        <f>SUMIFS('Data Input'!G:G,'Data Input'!B:B,"&gt;="&amp;DATE(2025,8,1),'Data Input'!B:B,"&lt;"&amp;DATE(2025,9,1))</f>
        <v>4000000</v>
      </c>
    </row>
    <row r="40" spans="1:2" ht="15" customHeight="1" x14ac:dyDescent="0.3">
      <c r="A40" s="3" t="s">
        <v>38</v>
      </c>
      <c r="B40" s="5">
        <f>SUMIFS('Data Input'!G:G,'Data Input'!B:B,"&gt;="&amp;DATE(2025,9,1),'Data Input'!B:B,"&lt;"&amp;DATE(2025,10,1))</f>
        <v>2500000</v>
      </c>
    </row>
    <row r="41" spans="1:2" ht="15" customHeight="1" x14ac:dyDescent="0.3">
      <c r="A41" s="3" t="s">
        <v>39</v>
      </c>
      <c r="B41" s="5">
        <f>SUMIFS('Data Input'!G:G,'Data Input'!B:B,"&gt;="&amp;DATE(2025,10,1),'Data Input'!B:B,"&lt;"&amp;DATE(2025,11,1))</f>
        <v>4500000</v>
      </c>
    </row>
    <row r="42" spans="1:2" ht="15" customHeight="1" x14ac:dyDescent="0.3">
      <c r="A42" s="3" t="s">
        <v>40</v>
      </c>
      <c r="B42" s="5">
        <f>SUMIFS('Data Input'!G:G,'Data Input'!B:B,"&gt;="&amp;DATE(2025,11,1),'Data Input'!B:B,"&lt;"&amp;DATE(2025,12,1))</f>
        <v>3000000</v>
      </c>
    </row>
    <row r="43" spans="1:2" ht="15" customHeight="1" x14ac:dyDescent="0.3">
      <c r="A43" s="3" t="s">
        <v>41</v>
      </c>
      <c r="B43" s="5">
        <f>SUMIFS('Data Input'!G:G,'Data Input'!B:B,"&gt;="&amp;DATE(2025,12,1),'Data Input'!B:B,"&lt;"&amp;DATE(2025,13,1))</f>
        <v>3500000</v>
      </c>
    </row>
    <row r="45" spans="1:2" ht="15" customHeight="1" x14ac:dyDescent="0.3">
      <c r="A45" s="2" t="s">
        <v>42</v>
      </c>
      <c r="B45" s="2" t="s">
        <v>43</v>
      </c>
    </row>
    <row r="46" spans="1:2" ht="15" customHeight="1" x14ac:dyDescent="0.3">
      <c r="A46" s="3" t="s">
        <v>44</v>
      </c>
      <c r="B46" s="5">
        <f>SUMIFS('Cost Savings Tracker'!H$4:H$21,'Cost Savings Tracker'!D$4:D$21,A46)</f>
        <v>2120000</v>
      </c>
    </row>
    <row r="47" spans="1:2" ht="15" customHeight="1" x14ac:dyDescent="0.3">
      <c r="A47" s="3" t="s">
        <v>45</v>
      </c>
      <c r="B47" s="5">
        <f>SUMIFS('Cost Savings Tracker'!H$4:H$21,'Cost Savings Tracker'!D$4:D$21,A47)</f>
        <v>1000000</v>
      </c>
    </row>
    <row r="48" spans="1:2" ht="15" customHeight="1" x14ac:dyDescent="0.3">
      <c r="A48" s="3" t="s">
        <v>46</v>
      </c>
      <c r="B48" s="5">
        <f>SUMIFS('Cost Savings Tracker'!H$4:H$21,'Cost Savings Tracker'!D$4:D$21,A48)</f>
        <v>1270000</v>
      </c>
    </row>
    <row r="49" spans="1:2" ht="15" customHeight="1" x14ac:dyDescent="0.3">
      <c r="A49" s="3" t="s">
        <v>47</v>
      </c>
      <c r="B49" s="5">
        <f>SUMIFS('Cost Savings Tracker'!H$4:H$21,'Cost Savings Tracker'!D$4:D$21,A49)</f>
        <v>3150000</v>
      </c>
    </row>
    <row r="50" spans="1:2" ht="15" customHeight="1" x14ac:dyDescent="0.3">
      <c r="A50" s="3" t="s">
        <v>48</v>
      </c>
      <c r="B50" s="5">
        <f>SUMIFS('Cost Savings Tracker'!H$4:H$21,'Cost Savings Tracker'!D$4:D$21,A50)</f>
        <v>800000</v>
      </c>
    </row>
    <row r="51" spans="1:2" ht="15" customHeight="1" x14ac:dyDescent="0.3">
      <c r="A51" s="3" t="s">
        <v>49</v>
      </c>
      <c r="B51" s="5">
        <f>SUMIFS('Cost Savings Tracker'!H$4:H$21,'Cost Savings Tracker'!D$4:D$21,A51)</f>
        <v>600000</v>
      </c>
    </row>
  </sheetData>
  <mergeCells count="10">
    <mergeCell ref="A6:C6"/>
    <mergeCell ref="D6:F6"/>
    <mergeCell ref="G6:I6"/>
    <mergeCell ref="J6:L6"/>
    <mergeCell ref="A1:N2"/>
    <mergeCell ref="A3:N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3B66"/>
  </sheetPr>
  <dimension ref="A1:I131"/>
  <sheetViews>
    <sheetView zoomScaleNormal="100" workbookViewId="0">
      <pane ySplit="1" topLeftCell="A40" activePane="bottomLeft" state="frozen"/>
      <selection pane="bottomLeft" activeCell="G134" sqref="G134"/>
    </sheetView>
  </sheetViews>
  <sheetFormatPr defaultColWidth="8.6640625" defaultRowHeight="14.4" x14ac:dyDescent="0.3"/>
  <cols>
    <col min="1" max="1" width="16" customWidth="1"/>
    <col min="2" max="2" width="14" customWidth="1"/>
    <col min="3" max="3" width="24" customWidth="1"/>
    <col min="4" max="4" width="22" customWidth="1"/>
    <col min="5" max="5" width="16" customWidth="1"/>
    <col min="6" max="6" width="22" customWidth="1"/>
    <col min="7" max="7" width="16" customWidth="1"/>
    <col min="8" max="8" width="18" customWidth="1"/>
    <col min="9" max="9" width="20" customWidth="1"/>
  </cols>
  <sheetData>
    <row r="1" spans="1:9" ht="26.25" customHeight="1" x14ac:dyDescent="0.3">
      <c r="A1" s="6" t="s">
        <v>50</v>
      </c>
      <c r="B1" s="6" t="s">
        <v>51</v>
      </c>
      <c r="C1" s="6" t="s">
        <v>52</v>
      </c>
      <c r="D1" s="6" t="s">
        <v>6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</row>
    <row r="2" spans="1:9" ht="15" customHeight="1" x14ac:dyDescent="0.3">
      <c r="A2" s="7" t="s">
        <v>58</v>
      </c>
      <c r="B2" s="8">
        <v>45710</v>
      </c>
      <c r="C2" s="7" t="s">
        <v>59</v>
      </c>
      <c r="D2" s="7" t="s">
        <v>10</v>
      </c>
      <c r="E2" s="7" t="s">
        <v>60</v>
      </c>
      <c r="F2" s="7" t="s">
        <v>61</v>
      </c>
      <c r="G2" s="9">
        <v>500000</v>
      </c>
      <c r="H2" s="7">
        <v>60</v>
      </c>
      <c r="I2" s="7" t="s">
        <v>62</v>
      </c>
    </row>
    <row r="3" spans="1:9" ht="15" customHeight="1" x14ac:dyDescent="0.3">
      <c r="A3" s="7" t="s">
        <v>63</v>
      </c>
      <c r="B3" s="8">
        <v>45399</v>
      </c>
      <c r="C3" s="7" t="s">
        <v>64</v>
      </c>
      <c r="D3" s="7" t="s">
        <v>13</v>
      </c>
      <c r="E3" s="7" t="s">
        <v>60</v>
      </c>
      <c r="F3" s="7" t="s">
        <v>65</v>
      </c>
      <c r="G3" s="9">
        <v>492091</v>
      </c>
      <c r="H3" s="7">
        <v>60</v>
      </c>
      <c r="I3" s="7" t="s">
        <v>66</v>
      </c>
    </row>
    <row r="4" spans="1:9" ht="15" customHeight="1" x14ac:dyDescent="0.3">
      <c r="A4" s="7" t="s">
        <v>67</v>
      </c>
      <c r="B4" s="8">
        <v>45803</v>
      </c>
      <c r="C4" s="7" t="s">
        <v>24</v>
      </c>
      <c r="D4" s="7" t="s">
        <v>8</v>
      </c>
      <c r="E4" s="7" t="s">
        <v>60</v>
      </c>
      <c r="F4" s="7" t="s">
        <v>68</v>
      </c>
      <c r="G4" s="9">
        <v>500000</v>
      </c>
      <c r="H4" s="7">
        <v>90</v>
      </c>
      <c r="I4" s="7" t="s">
        <v>69</v>
      </c>
    </row>
    <row r="5" spans="1:9" ht="15" customHeight="1" x14ac:dyDescent="0.3">
      <c r="A5" s="7" t="s">
        <v>70</v>
      </c>
      <c r="B5" s="8">
        <v>45447</v>
      </c>
      <c r="C5" s="7" t="s">
        <v>28</v>
      </c>
      <c r="D5" s="7" t="s">
        <v>8</v>
      </c>
      <c r="E5" s="7" t="s">
        <v>71</v>
      </c>
      <c r="F5" s="7" t="s">
        <v>72</v>
      </c>
      <c r="G5" s="9">
        <v>500000</v>
      </c>
      <c r="H5" s="7">
        <v>15</v>
      </c>
      <c r="I5" s="7" t="s">
        <v>73</v>
      </c>
    </row>
    <row r="6" spans="1:9" ht="15" customHeight="1" x14ac:dyDescent="0.3">
      <c r="A6" s="7" t="s">
        <v>74</v>
      </c>
      <c r="B6" s="8">
        <v>45887</v>
      </c>
      <c r="C6" s="7" t="s">
        <v>26</v>
      </c>
      <c r="D6" s="7" t="s">
        <v>9</v>
      </c>
      <c r="E6" s="7" t="s">
        <v>75</v>
      </c>
      <c r="F6" s="7" t="s">
        <v>76</v>
      </c>
      <c r="G6" s="9">
        <v>500000</v>
      </c>
      <c r="H6" s="7">
        <v>15</v>
      </c>
      <c r="I6" s="7" t="s">
        <v>77</v>
      </c>
    </row>
    <row r="7" spans="1:9" ht="15" customHeight="1" x14ac:dyDescent="0.3">
      <c r="A7" s="7" t="s">
        <v>78</v>
      </c>
      <c r="B7" s="8">
        <v>45827</v>
      </c>
      <c r="C7" s="7" t="s">
        <v>79</v>
      </c>
      <c r="D7" s="7" t="s">
        <v>16</v>
      </c>
      <c r="E7" s="7" t="s">
        <v>75</v>
      </c>
      <c r="F7" s="7" t="s">
        <v>80</v>
      </c>
      <c r="G7" s="9">
        <v>500000</v>
      </c>
      <c r="H7" s="7">
        <v>30</v>
      </c>
      <c r="I7" s="7" t="s">
        <v>81</v>
      </c>
    </row>
    <row r="8" spans="1:9" ht="15" customHeight="1" x14ac:dyDescent="0.3">
      <c r="A8" s="7" t="s">
        <v>82</v>
      </c>
      <c r="B8" s="8">
        <v>45775</v>
      </c>
      <c r="C8" s="7" t="s">
        <v>23</v>
      </c>
      <c r="D8" s="7" t="s">
        <v>11</v>
      </c>
      <c r="E8" s="7" t="s">
        <v>60</v>
      </c>
      <c r="F8" s="7" t="s">
        <v>83</v>
      </c>
      <c r="G8" s="9">
        <v>500000</v>
      </c>
      <c r="H8" s="7">
        <v>15</v>
      </c>
      <c r="I8" s="7" t="s">
        <v>84</v>
      </c>
    </row>
    <row r="9" spans="1:9" ht="15" customHeight="1" x14ac:dyDescent="0.3">
      <c r="A9" s="7" t="s">
        <v>85</v>
      </c>
      <c r="B9" s="8">
        <v>45605</v>
      </c>
      <c r="C9" s="7" t="s">
        <v>26</v>
      </c>
      <c r="D9" s="7" t="s">
        <v>9</v>
      </c>
      <c r="E9" s="7" t="s">
        <v>75</v>
      </c>
      <c r="F9" s="7" t="s">
        <v>86</v>
      </c>
      <c r="G9" s="9">
        <v>500000</v>
      </c>
      <c r="H9" s="7">
        <v>60</v>
      </c>
      <c r="I9" s="7" t="s">
        <v>87</v>
      </c>
    </row>
    <row r="10" spans="1:9" ht="15" customHeight="1" x14ac:dyDescent="0.3">
      <c r="A10" s="7" t="s">
        <v>88</v>
      </c>
      <c r="B10" s="8">
        <v>45753</v>
      </c>
      <c r="C10" s="7" t="s">
        <v>89</v>
      </c>
      <c r="D10" s="7" t="s">
        <v>14</v>
      </c>
      <c r="E10" s="7" t="s">
        <v>90</v>
      </c>
      <c r="F10" s="7" t="s">
        <v>91</v>
      </c>
      <c r="G10" s="9">
        <v>500000</v>
      </c>
      <c r="H10" s="7">
        <v>45</v>
      </c>
      <c r="I10" s="7" t="s">
        <v>92</v>
      </c>
    </row>
    <row r="11" spans="1:9" ht="15" customHeight="1" x14ac:dyDescent="0.3">
      <c r="A11" s="7" t="s">
        <v>93</v>
      </c>
      <c r="B11" s="8">
        <v>45665</v>
      </c>
      <c r="C11" s="7" t="s">
        <v>19</v>
      </c>
      <c r="D11" s="7" t="s">
        <v>9</v>
      </c>
      <c r="E11" s="7" t="s">
        <v>94</v>
      </c>
      <c r="F11" s="7" t="s">
        <v>86</v>
      </c>
      <c r="G11" s="9">
        <v>500000</v>
      </c>
      <c r="H11" s="7">
        <v>90</v>
      </c>
      <c r="I11" s="7" t="s">
        <v>95</v>
      </c>
    </row>
    <row r="12" spans="1:9" ht="15" customHeight="1" x14ac:dyDescent="0.3">
      <c r="A12" s="7" t="s">
        <v>96</v>
      </c>
      <c r="B12" s="8">
        <v>46002</v>
      </c>
      <c r="C12" s="7" t="s">
        <v>97</v>
      </c>
      <c r="D12" s="7" t="s">
        <v>8</v>
      </c>
      <c r="E12" s="7" t="s">
        <v>75</v>
      </c>
      <c r="F12" s="7" t="s">
        <v>98</v>
      </c>
      <c r="G12" s="9">
        <v>500000</v>
      </c>
      <c r="H12" s="7">
        <v>30</v>
      </c>
      <c r="I12" s="7" t="s">
        <v>99</v>
      </c>
    </row>
    <row r="13" spans="1:9" ht="15" customHeight="1" x14ac:dyDescent="0.3">
      <c r="A13" s="7" t="s">
        <v>100</v>
      </c>
      <c r="B13" s="8">
        <v>45644</v>
      </c>
      <c r="C13" s="7" t="s">
        <v>101</v>
      </c>
      <c r="D13" s="7" t="s">
        <v>10</v>
      </c>
      <c r="E13" s="7" t="s">
        <v>75</v>
      </c>
      <c r="F13" s="7" t="s">
        <v>61</v>
      </c>
      <c r="G13" s="9">
        <v>500000</v>
      </c>
      <c r="H13" s="7">
        <v>60</v>
      </c>
      <c r="I13" s="7" t="s">
        <v>102</v>
      </c>
    </row>
    <row r="14" spans="1:9" ht="15" customHeight="1" x14ac:dyDescent="0.3">
      <c r="A14" s="7" t="s">
        <v>103</v>
      </c>
      <c r="B14" s="8">
        <v>45551</v>
      </c>
      <c r="C14" s="7" t="s">
        <v>24</v>
      </c>
      <c r="D14" s="7" t="s">
        <v>8</v>
      </c>
      <c r="E14" s="7" t="s">
        <v>75</v>
      </c>
      <c r="F14" s="7" t="s">
        <v>68</v>
      </c>
      <c r="G14" s="9">
        <v>500000</v>
      </c>
      <c r="H14" s="7">
        <v>15</v>
      </c>
      <c r="I14" s="7" t="s">
        <v>104</v>
      </c>
    </row>
    <row r="15" spans="1:9" ht="15" customHeight="1" x14ac:dyDescent="0.3">
      <c r="A15" s="7" t="s">
        <v>105</v>
      </c>
      <c r="B15" s="8">
        <v>45933</v>
      </c>
      <c r="C15" s="7" t="s">
        <v>23</v>
      </c>
      <c r="D15" s="7" t="s">
        <v>11</v>
      </c>
      <c r="E15" s="7" t="s">
        <v>94</v>
      </c>
      <c r="F15" s="7" t="s">
        <v>106</v>
      </c>
      <c r="G15" s="9">
        <v>500000</v>
      </c>
      <c r="H15" s="7">
        <v>45</v>
      </c>
      <c r="I15" s="7" t="s">
        <v>107</v>
      </c>
    </row>
    <row r="16" spans="1:9" ht="15" customHeight="1" x14ac:dyDescent="0.3">
      <c r="A16" s="7" t="s">
        <v>108</v>
      </c>
      <c r="B16" s="8">
        <v>45679</v>
      </c>
      <c r="C16" s="7" t="s">
        <v>19</v>
      </c>
      <c r="D16" s="7" t="s">
        <v>9</v>
      </c>
      <c r="E16" s="7" t="s">
        <v>94</v>
      </c>
      <c r="F16" s="7" t="s">
        <v>76</v>
      </c>
      <c r="G16" s="9">
        <v>500000</v>
      </c>
      <c r="H16" s="7">
        <v>60</v>
      </c>
      <c r="I16" s="7" t="s">
        <v>109</v>
      </c>
    </row>
    <row r="17" spans="1:9" ht="15" customHeight="1" x14ac:dyDescent="0.3">
      <c r="A17" s="7" t="s">
        <v>110</v>
      </c>
      <c r="B17" s="8">
        <v>45731</v>
      </c>
      <c r="C17" s="7" t="s">
        <v>97</v>
      </c>
      <c r="D17" s="7" t="s">
        <v>8</v>
      </c>
      <c r="E17" s="7" t="s">
        <v>94</v>
      </c>
      <c r="F17" s="7" t="s">
        <v>72</v>
      </c>
      <c r="G17" s="9">
        <v>500000</v>
      </c>
      <c r="H17" s="7">
        <v>15</v>
      </c>
      <c r="I17" s="7" t="s">
        <v>111</v>
      </c>
    </row>
    <row r="18" spans="1:9" ht="15" customHeight="1" x14ac:dyDescent="0.3">
      <c r="A18" s="7" t="s">
        <v>112</v>
      </c>
      <c r="B18" s="8">
        <v>45716</v>
      </c>
      <c r="C18" s="7" t="s">
        <v>113</v>
      </c>
      <c r="D18" s="7" t="s">
        <v>15</v>
      </c>
      <c r="E18" s="7" t="s">
        <v>94</v>
      </c>
      <c r="F18" s="7" t="s">
        <v>114</v>
      </c>
      <c r="G18" s="9">
        <v>500000</v>
      </c>
      <c r="H18" s="7">
        <v>60</v>
      </c>
      <c r="I18" s="7" t="s">
        <v>115</v>
      </c>
    </row>
    <row r="19" spans="1:9" ht="15" customHeight="1" x14ac:dyDescent="0.3">
      <c r="A19" s="7" t="s">
        <v>116</v>
      </c>
      <c r="B19" s="8">
        <v>45734</v>
      </c>
      <c r="C19" s="7" t="s">
        <v>24</v>
      </c>
      <c r="D19" s="7" t="s">
        <v>8</v>
      </c>
      <c r="E19" s="7" t="s">
        <v>90</v>
      </c>
      <c r="F19" s="7" t="s">
        <v>117</v>
      </c>
      <c r="G19" s="9">
        <v>500000</v>
      </c>
      <c r="H19" s="7">
        <v>90</v>
      </c>
      <c r="I19" s="7" t="s">
        <v>118</v>
      </c>
    </row>
    <row r="20" spans="1:9" ht="15" customHeight="1" x14ac:dyDescent="0.3">
      <c r="A20" s="7" t="s">
        <v>119</v>
      </c>
      <c r="B20" s="8">
        <v>45470</v>
      </c>
      <c r="C20" s="7" t="s">
        <v>89</v>
      </c>
      <c r="D20" s="7" t="s">
        <v>14</v>
      </c>
      <c r="E20" s="7" t="s">
        <v>94</v>
      </c>
      <c r="F20" s="7" t="s">
        <v>120</v>
      </c>
      <c r="G20" s="9">
        <v>500000</v>
      </c>
      <c r="H20" s="7">
        <v>90</v>
      </c>
      <c r="I20" s="7" t="s">
        <v>121</v>
      </c>
    </row>
    <row r="21" spans="1:9" ht="15" customHeight="1" x14ac:dyDescent="0.3">
      <c r="A21" s="7" t="s">
        <v>122</v>
      </c>
      <c r="B21" s="8">
        <v>45713</v>
      </c>
      <c r="C21" s="7" t="s">
        <v>24</v>
      </c>
      <c r="D21" s="7" t="s">
        <v>8</v>
      </c>
      <c r="E21" s="7" t="s">
        <v>60</v>
      </c>
      <c r="F21" s="7" t="s">
        <v>98</v>
      </c>
      <c r="G21" s="9">
        <v>500000</v>
      </c>
      <c r="H21" s="7">
        <v>60</v>
      </c>
      <c r="I21" s="7" t="s">
        <v>123</v>
      </c>
    </row>
    <row r="22" spans="1:9" ht="15" customHeight="1" x14ac:dyDescent="0.3">
      <c r="A22" s="7" t="s">
        <v>124</v>
      </c>
      <c r="B22" s="8">
        <v>45944</v>
      </c>
      <c r="C22" s="7" t="s">
        <v>125</v>
      </c>
      <c r="D22" s="7" t="s">
        <v>11</v>
      </c>
      <c r="E22" s="7" t="s">
        <v>60</v>
      </c>
      <c r="F22" s="7" t="s">
        <v>106</v>
      </c>
      <c r="G22" s="9">
        <v>500000</v>
      </c>
      <c r="H22" s="7">
        <v>30</v>
      </c>
      <c r="I22" s="7" t="s">
        <v>126</v>
      </c>
    </row>
    <row r="23" spans="1:9" ht="15" customHeight="1" x14ac:dyDescent="0.3">
      <c r="A23" s="7" t="s">
        <v>127</v>
      </c>
      <c r="B23" s="8">
        <v>45982</v>
      </c>
      <c r="C23" s="7" t="s">
        <v>89</v>
      </c>
      <c r="D23" s="7" t="s">
        <v>14</v>
      </c>
      <c r="E23" s="7" t="s">
        <v>71</v>
      </c>
      <c r="F23" s="7" t="s">
        <v>128</v>
      </c>
      <c r="G23" s="9">
        <v>500000</v>
      </c>
      <c r="H23" s="7">
        <v>30</v>
      </c>
      <c r="I23" s="7" t="s">
        <v>129</v>
      </c>
    </row>
    <row r="24" spans="1:9" ht="15" customHeight="1" x14ac:dyDescent="0.3">
      <c r="A24" s="7" t="s">
        <v>130</v>
      </c>
      <c r="B24" s="8">
        <v>45310</v>
      </c>
      <c r="C24" s="7" t="s">
        <v>131</v>
      </c>
      <c r="D24" s="7" t="s">
        <v>9</v>
      </c>
      <c r="E24" s="7" t="s">
        <v>75</v>
      </c>
      <c r="F24" s="7" t="s">
        <v>86</v>
      </c>
      <c r="G24" s="9">
        <v>500000</v>
      </c>
      <c r="H24" s="7">
        <v>60</v>
      </c>
      <c r="I24" s="7" t="s">
        <v>132</v>
      </c>
    </row>
    <row r="25" spans="1:9" ht="15" customHeight="1" x14ac:dyDescent="0.3">
      <c r="A25" s="7" t="s">
        <v>133</v>
      </c>
      <c r="B25" s="8">
        <v>45446</v>
      </c>
      <c r="C25" s="7" t="s">
        <v>20</v>
      </c>
      <c r="D25" s="7" t="s">
        <v>8</v>
      </c>
      <c r="E25" s="7" t="s">
        <v>60</v>
      </c>
      <c r="F25" s="7" t="s">
        <v>98</v>
      </c>
      <c r="G25" s="9">
        <v>500000</v>
      </c>
      <c r="H25" s="7">
        <v>60</v>
      </c>
      <c r="I25" s="7" t="s">
        <v>134</v>
      </c>
    </row>
    <row r="26" spans="1:9" ht="15" customHeight="1" x14ac:dyDescent="0.3">
      <c r="A26" s="7" t="s">
        <v>135</v>
      </c>
      <c r="B26" s="8">
        <v>45946</v>
      </c>
      <c r="C26" s="7" t="s">
        <v>21</v>
      </c>
      <c r="D26" s="7" t="s">
        <v>8</v>
      </c>
      <c r="E26" s="7" t="s">
        <v>90</v>
      </c>
      <c r="F26" s="7" t="s">
        <v>117</v>
      </c>
      <c r="G26" s="9">
        <v>500000</v>
      </c>
      <c r="H26" s="7">
        <v>30</v>
      </c>
      <c r="I26" s="7" t="s">
        <v>136</v>
      </c>
    </row>
    <row r="27" spans="1:9" ht="15" customHeight="1" x14ac:dyDescent="0.3">
      <c r="A27" s="7" t="s">
        <v>137</v>
      </c>
      <c r="B27" s="8">
        <v>45822</v>
      </c>
      <c r="C27" s="7" t="s">
        <v>138</v>
      </c>
      <c r="D27" s="7" t="s">
        <v>12</v>
      </c>
      <c r="E27" s="7" t="s">
        <v>71</v>
      </c>
      <c r="F27" s="7" t="s">
        <v>139</v>
      </c>
      <c r="G27" s="9">
        <v>500000</v>
      </c>
      <c r="H27" s="7">
        <v>45</v>
      </c>
      <c r="I27" s="7" t="s">
        <v>140</v>
      </c>
    </row>
    <row r="28" spans="1:9" ht="15" customHeight="1" x14ac:dyDescent="0.3">
      <c r="A28" s="7" t="s">
        <v>141</v>
      </c>
      <c r="B28" s="8">
        <v>45330</v>
      </c>
      <c r="C28" s="7" t="s">
        <v>131</v>
      </c>
      <c r="D28" s="7" t="s">
        <v>9</v>
      </c>
      <c r="E28" s="7" t="s">
        <v>71</v>
      </c>
      <c r="F28" s="7" t="s">
        <v>142</v>
      </c>
      <c r="G28" s="9">
        <v>500000</v>
      </c>
      <c r="H28" s="7">
        <v>30</v>
      </c>
      <c r="I28" s="7" t="s">
        <v>143</v>
      </c>
    </row>
    <row r="29" spans="1:9" ht="15" customHeight="1" x14ac:dyDescent="0.3">
      <c r="A29" s="7" t="s">
        <v>144</v>
      </c>
      <c r="B29" s="8">
        <v>45337</v>
      </c>
      <c r="C29" s="7" t="s">
        <v>28</v>
      </c>
      <c r="D29" s="7" t="s">
        <v>8</v>
      </c>
      <c r="E29" s="7" t="s">
        <v>75</v>
      </c>
      <c r="F29" s="7" t="s">
        <v>117</v>
      </c>
      <c r="G29" s="9">
        <v>500000</v>
      </c>
      <c r="H29" s="7">
        <v>90</v>
      </c>
      <c r="I29" s="7" t="s">
        <v>145</v>
      </c>
    </row>
    <row r="30" spans="1:9" ht="15" customHeight="1" x14ac:dyDescent="0.3">
      <c r="A30" s="7" t="s">
        <v>146</v>
      </c>
      <c r="B30" s="8">
        <v>45660</v>
      </c>
      <c r="C30" s="7" t="s">
        <v>147</v>
      </c>
      <c r="D30" s="7" t="s">
        <v>13</v>
      </c>
      <c r="E30" s="7" t="s">
        <v>75</v>
      </c>
      <c r="F30" s="7" t="s">
        <v>148</v>
      </c>
      <c r="G30" s="9">
        <v>500000</v>
      </c>
      <c r="H30" s="7">
        <v>90</v>
      </c>
      <c r="I30" s="7" t="s">
        <v>149</v>
      </c>
    </row>
    <row r="31" spans="1:9" ht="15" customHeight="1" x14ac:dyDescent="0.3">
      <c r="A31" s="7" t="s">
        <v>150</v>
      </c>
      <c r="B31" s="8">
        <v>45663</v>
      </c>
      <c r="C31" s="7" t="s">
        <v>151</v>
      </c>
      <c r="D31" s="7" t="s">
        <v>12</v>
      </c>
      <c r="E31" s="7" t="s">
        <v>60</v>
      </c>
      <c r="F31" s="7" t="s">
        <v>152</v>
      </c>
      <c r="G31" s="9">
        <v>500000</v>
      </c>
      <c r="H31" s="7">
        <v>45</v>
      </c>
      <c r="I31" s="7" t="s">
        <v>153</v>
      </c>
    </row>
    <row r="32" spans="1:9" ht="15" customHeight="1" x14ac:dyDescent="0.3">
      <c r="A32" s="7" t="s">
        <v>154</v>
      </c>
      <c r="B32" s="8">
        <v>45922</v>
      </c>
      <c r="C32" s="7" t="s">
        <v>28</v>
      </c>
      <c r="D32" s="7" t="s">
        <v>8</v>
      </c>
      <c r="E32" s="7" t="s">
        <v>75</v>
      </c>
      <c r="F32" s="7" t="s">
        <v>72</v>
      </c>
      <c r="G32" s="9">
        <v>500000</v>
      </c>
      <c r="H32" s="7">
        <v>60</v>
      </c>
      <c r="I32" s="7" t="s">
        <v>155</v>
      </c>
    </row>
    <row r="33" spans="1:9" ht="15" customHeight="1" x14ac:dyDescent="0.3">
      <c r="A33" s="7" t="s">
        <v>156</v>
      </c>
      <c r="B33" s="8">
        <v>45681</v>
      </c>
      <c r="C33" s="7" t="s">
        <v>157</v>
      </c>
      <c r="D33" s="7" t="s">
        <v>9</v>
      </c>
      <c r="E33" s="7" t="s">
        <v>60</v>
      </c>
      <c r="F33" s="7" t="s">
        <v>142</v>
      </c>
      <c r="G33" s="9">
        <v>500000</v>
      </c>
      <c r="H33" s="7">
        <v>30</v>
      </c>
      <c r="I33" s="7" t="s">
        <v>158</v>
      </c>
    </row>
    <row r="34" spans="1:9" ht="15" customHeight="1" x14ac:dyDescent="0.3">
      <c r="A34" s="7" t="s">
        <v>159</v>
      </c>
      <c r="B34" s="8">
        <v>45716</v>
      </c>
      <c r="C34" s="7" t="s">
        <v>24</v>
      </c>
      <c r="D34" s="7" t="s">
        <v>8</v>
      </c>
      <c r="E34" s="7" t="s">
        <v>75</v>
      </c>
      <c r="F34" s="7" t="s">
        <v>117</v>
      </c>
      <c r="G34" s="9">
        <v>500000</v>
      </c>
      <c r="H34" s="7">
        <v>30</v>
      </c>
      <c r="I34" s="7" t="s">
        <v>160</v>
      </c>
    </row>
    <row r="35" spans="1:9" ht="15" customHeight="1" x14ac:dyDescent="0.3">
      <c r="A35" s="7" t="s">
        <v>161</v>
      </c>
      <c r="B35" s="8">
        <v>45766</v>
      </c>
      <c r="C35" s="7" t="s">
        <v>21</v>
      </c>
      <c r="D35" s="7" t="s">
        <v>8</v>
      </c>
      <c r="E35" s="7" t="s">
        <v>60</v>
      </c>
      <c r="F35" s="7" t="s">
        <v>68</v>
      </c>
      <c r="G35" s="9">
        <v>500000</v>
      </c>
      <c r="H35" s="7">
        <v>60</v>
      </c>
      <c r="I35" s="7" t="s">
        <v>162</v>
      </c>
    </row>
    <row r="36" spans="1:9" ht="15" customHeight="1" x14ac:dyDescent="0.3">
      <c r="A36" s="7" t="s">
        <v>163</v>
      </c>
      <c r="B36" s="8">
        <v>45619</v>
      </c>
      <c r="C36" s="7" t="s">
        <v>24</v>
      </c>
      <c r="D36" s="7" t="s">
        <v>8</v>
      </c>
      <c r="E36" s="7" t="s">
        <v>60</v>
      </c>
      <c r="F36" s="7" t="s">
        <v>72</v>
      </c>
      <c r="G36" s="9">
        <v>500000</v>
      </c>
      <c r="H36" s="7">
        <v>30</v>
      </c>
      <c r="I36" s="7" t="s">
        <v>164</v>
      </c>
    </row>
    <row r="37" spans="1:9" ht="15" customHeight="1" x14ac:dyDescent="0.3">
      <c r="A37" s="7" t="s">
        <v>165</v>
      </c>
      <c r="B37" s="8">
        <v>45689</v>
      </c>
      <c r="C37" s="7" t="s">
        <v>97</v>
      </c>
      <c r="D37" s="7" t="s">
        <v>8</v>
      </c>
      <c r="E37" s="7" t="s">
        <v>75</v>
      </c>
      <c r="F37" s="7" t="s">
        <v>68</v>
      </c>
      <c r="G37" s="9">
        <v>500000</v>
      </c>
      <c r="H37" s="7">
        <v>45</v>
      </c>
      <c r="I37" s="7" t="s">
        <v>166</v>
      </c>
    </row>
    <row r="38" spans="1:9" ht="15" customHeight="1" x14ac:dyDescent="0.3">
      <c r="A38" s="7" t="s">
        <v>167</v>
      </c>
      <c r="B38" s="8">
        <v>45782</v>
      </c>
      <c r="C38" s="7" t="s">
        <v>25</v>
      </c>
      <c r="D38" s="7" t="s">
        <v>10</v>
      </c>
      <c r="E38" s="7" t="s">
        <v>75</v>
      </c>
      <c r="F38" s="7" t="s">
        <v>168</v>
      </c>
      <c r="G38" s="9">
        <v>500000</v>
      </c>
      <c r="H38" s="7">
        <v>30</v>
      </c>
      <c r="I38" s="7" t="s">
        <v>169</v>
      </c>
    </row>
    <row r="39" spans="1:9" ht="15" customHeight="1" x14ac:dyDescent="0.3">
      <c r="A39" s="7" t="s">
        <v>170</v>
      </c>
      <c r="B39" s="8">
        <v>45923</v>
      </c>
      <c r="C39" s="7" t="s">
        <v>64</v>
      </c>
      <c r="D39" s="7" t="s">
        <v>13</v>
      </c>
      <c r="E39" s="7" t="s">
        <v>94</v>
      </c>
      <c r="F39" s="7" t="s">
        <v>171</v>
      </c>
      <c r="G39" s="9">
        <v>500000</v>
      </c>
      <c r="H39" s="7">
        <v>30</v>
      </c>
      <c r="I39" s="7" t="s">
        <v>172</v>
      </c>
    </row>
    <row r="40" spans="1:9" ht="15" customHeight="1" x14ac:dyDescent="0.3">
      <c r="A40" s="7" t="s">
        <v>173</v>
      </c>
      <c r="B40" s="8">
        <v>45360</v>
      </c>
      <c r="C40" s="7" t="s">
        <v>25</v>
      </c>
      <c r="D40" s="7" t="s">
        <v>10</v>
      </c>
      <c r="E40" s="7" t="s">
        <v>94</v>
      </c>
      <c r="F40" s="7" t="s">
        <v>174</v>
      </c>
      <c r="G40" s="9">
        <v>500000</v>
      </c>
      <c r="H40" s="7">
        <v>15</v>
      </c>
      <c r="I40" s="7" t="s">
        <v>175</v>
      </c>
    </row>
    <row r="41" spans="1:9" ht="15" customHeight="1" x14ac:dyDescent="0.3">
      <c r="A41" s="7" t="s">
        <v>176</v>
      </c>
      <c r="B41" s="8">
        <v>45637</v>
      </c>
      <c r="C41" s="7" t="s">
        <v>147</v>
      </c>
      <c r="D41" s="7" t="s">
        <v>13</v>
      </c>
      <c r="E41" s="7" t="s">
        <v>71</v>
      </c>
      <c r="F41" s="7" t="s">
        <v>171</v>
      </c>
      <c r="G41" s="9">
        <v>500000</v>
      </c>
      <c r="H41" s="7">
        <v>30</v>
      </c>
      <c r="I41" s="7" t="s">
        <v>177</v>
      </c>
    </row>
    <row r="42" spans="1:9" ht="15" customHeight="1" x14ac:dyDescent="0.3">
      <c r="A42" s="7" t="s">
        <v>178</v>
      </c>
      <c r="B42" s="8">
        <v>45660</v>
      </c>
      <c r="C42" s="7" t="s">
        <v>101</v>
      </c>
      <c r="D42" s="7" t="s">
        <v>10</v>
      </c>
      <c r="E42" s="7" t="s">
        <v>94</v>
      </c>
      <c r="F42" s="7" t="s">
        <v>174</v>
      </c>
      <c r="G42" s="9">
        <v>500000</v>
      </c>
      <c r="H42" s="7">
        <v>60</v>
      </c>
      <c r="I42" s="7" t="s">
        <v>179</v>
      </c>
    </row>
    <row r="43" spans="1:9" ht="15" customHeight="1" x14ac:dyDescent="0.3">
      <c r="A43" s="7" t="s">
        <v>180</v>
      </c>
      <c r="B43" s="8">
        <v>45783</v>
      </c>
      <c r="C43" s="7" t="s">
        <v>131</v>
      </c>
      <c r="D43" s="7" t="s">
        <v>9</v>
      </c>
      <c r="E43" s="7" t="s">
        <v>75</v>
      </c>
      <c r="F43" s="7" t="s">
        <v>76</v>
      </c>
      <c r="G43" s="9">
        <v>500000</v>
      </c>
      <c r="H43" s="7">
        <v>60</v>
      </c>
      <c r="I43" s="7" t="s">
        <v>181</v>
      </c>
    </row>
    <row r="44" spans="1:9" ht="15" customHeight="1" x14ac:dyDescent="0.3">
      <c r="A44" s="7" t="s">
        <v>182</v>
      </c>
      <c r="B44" s="8">
        <v>45734</v>
      </c>
      <c r="C44" s="7" t="s">
        <v>19</v>
      </c>
      <c r="D44" s="7" t="s">
        <v>9</v>
      </c>
      <c r="E44" s="7" t="s">
        <v>71</v>
      </c>
      <c r="F44" s="7" t="s">
        <v>142</v>
      </c>
      <c r="G44" s="9">
        <v>500000</v>
      </c>
      <c r="H44" s="7">
        <v>15</v>
      </c>
      <c r="I44" s="7" t="s">
        <v>183</v>
      </c>
    </row>
    <row r="45" spans="1:9" ht="15" customHeight="1" x14ac:dyDescent="0.3">
      <c r="A45" s="7" t="s">
        <v>184</v>
      </c>
      <c r="B45" s="8">
        <v>45469</v>
      </c>
      <c r="C45" s="7" t="s">
        <v>138</v>
      </c>
      <c r="D45" s="7" t="s">
        <v>12</v>
      </c>
      <c r="E45" s="7" t="s">
        <v>75</v>
      </c>
      <c r="F45" s="7" t="s">
        <v>152</v>
      </c>
      <c r="G45" s="9">
        <v>500000</v>
      </c>
      <c r="H45" s="7">
        <v>90</v>
      </c>
      <c r="I45" s="7" t="s">
        <v>185</v>
      </c>
    </row>
    <row r="46" spans="1:9" ht="15" customHeight="1" x14ac:dyDescent="0.3">
      <c r="A46" s="7" t="s">
        <v>186</v>
      </c>
      <c r="B46" s="8">
        <v>45858</v>
      </c>
      <c r="C46" s="7" t="s">
        <v>21</v>
      </c>
      <c r="D46" s="7" t="s">
        <v>8</v>
      </c>
      <c r="E46" s="7" t="s">
        <v>75</v>
      </c>
      <c r="F46" s="7" t="s">
        <v>98</v>
      </c>
      <c r="G46" s="9">
        <v>500000</v>
      </c>
      <c r="H46" s="7">
        <v>60</v>
      </c>
      <c r="I46" s="7" t="s">
        <v>187</v>
      </c>
    </row>
    <row r="47" spans="1:9" ht="15" customHeight="1" x14ac:dyDescent="0.3">
      <c r="A47" s="7" t="s">
        <v>188</v>
      </c>
      <c r="B47" s="8">
        <v>45375</v>
      </c>
      <c r="C47" s="7" t="s">
        <v>21</v>
      </c>
      <c r="D47" s="7" t="s">
        <v>8</v>
      </c>
      <c r="E47" s="7" t="s">
        <v>94</v>
      </c>
      <c r="F47" s="7" t="s">
        <v>117</v>
      </c>
      <c r="G47" s="9">
        <v>500000</v>
      </c>
      <c r="H47" s="7">
        <v>30</v>
      </c>
      <c r="I47" s="7" t="s">
        <v>189</v>
      </c>
    </row>
    <row r="48" spans="1:9" ht="15" customHeight="1" x14ac:dyDescent="0.3">
      <c r="A48" s="7" t="s">
        <v>190</v>
      </c>
      <c r="B48" s="8">
        <v>45701</v>
      </c>
      <c r="C48" s="7" t="s">
        <v>138</v>
      </c>
      <c r="D48" s="7" t="s">
        <v>12</v>
      </c>
      <c r="E48" s="7" t="s">
        <v>75</v>
      </c>
      <c r="F48" s="7" t="s">
        <v>152</v>
      </c>
      <c r="G48" s="9">
        <v>500000</v>
      </c>
      <c r="H48" s="7">
        <v>90</v>
      </c>
      <c r="I48" s="7" t="s">
        <v>191</v>
      </c>
    </row>
    <row r="49" spans="1:9" ht="15" customHeight="1" x14ac:dyDescent="0.3">
      <c r="A49" s="7" t="s">
        <v>192</v>
      </c>
      <c r="B49" s="8">
        <v>45755</v>
      </c>
      <c r="C49" s="7" t="s">
        <v>21</v>
      </c>
      <c r="D49" s="7" t="s">
        <v>8</v>
      </c>
      <c r="E49" s="7" t="s">
        <v>75</v>
      </c>
      <c r="F49" s="7" t="s">
        <v>68</v>
      </c>
      <c r="G49" s="9">
        <v>500000</v>
      </c>
      <c r="H49" s="7">
        <v>15</v>
      </c>
      <c r="I49" s="7" t="s">
        <v>193</v>
      </c>
    </row>
    <row r="50" spans="1:9" ht="15" customHeight="1" x14ac:dyDescent="0.3">
      <c r="A50" s="7" t="s">
        <v>194</v>
      </c>
      <c r="B50" s="8">
        <v>45464</v>
      </c>
      <c r="C50" s="7" t="s">
        <v>59</v>
      </c>
      <c r="D50" s="7" t="s">
        <v>10</v>
      </c>
      <c r="E50" s="7" t="s">
        <v>75</v>
      </c>
      <c r="F50" s="7" t="s">
        <v>168</v>
      </c>
      <c r="G50" s="9">
        <v>500000</v>
      </c>
      <c r="H50" s="7">
        <v>60</v>
      </c>
      <c r="I50" s="7" t="s">
        <v>195</v>
      </c>
    </row>
    <row r="51" spans="1:9" ht="15" customHeight="1" x14ac:dyDescent="0.3">
      <c r="A51" s="7" t="s">
        <v>196</v>
      </c>
      <c r="B51" s="8">
        <v>45418</v>
      </c>
      <c r="C51" s="7" t="s">
        <v>19</v>
      </c>
      <c r="D51" s="7" t="s">
        <v>9</v>
      </c>
      <c r="E51" s="7" t="s">
        <v>94</v>
      </c>
      <c r="F51" s="7" t="s">
        <v>76</v>
      </c>
      <c r="G51" s="9">
        <v>500000</v>
      </c>
      <c r="H51" s="7">
        <v>60</v>
      </c>
      <c r="I51" s="7" t="s">
        <v>197</v>
      </c>
    </row>
    <row r="52" spans="1:9" ht="15" customHeight="1" x14ac:dyDescent="0.3">
      <c r="A52" s="7" t="s">
        <v>198</v>
      </c>
      <c r="B52" s="8">
        <v>45822</v>
      </c>
      <c r="C52" s="7" t="s">
        <v>199</v>
      </c>
      <c r="D52" s="7" t="s">
        <v>15</v>
      </c>
      <c r="E52" s="7" t="s">
        <v>75</v>
      </c>
      <c r="F52" s="7" t="s">
        <v>114</v>
      </c>
      <c r="G52" s="9">
        <v>500000</v>
      </c>
      <c r="H52" s="7">
        <v>60</v>
      </c>
      <c r="I52" s="7" t="s">
        <v>200</v>
      </c>
    </row>
    <row r="53" spans="1:9" ht="15" customHeight="1" x14ac:dyDescent="0.3">
      <c r="A53" s="7" t="s">
        <v>201</v>
      </c>
      <c r="B53" s="8">
        <v>45839</v>
      </c>
      <c r="C53" s="7" t="s">
        <v>79</v>
      </c>
      <c r="D53" s="7" t="s">
        <v>16</v>
      </c>
      <c r="E53" s="7" t="s">
        <v>60</v>
      </c>
      <c r="F53" s="7" t="s">
        <v>202</v>
      </c>
      <c r="G53" s="9">
        <v>500000</v>
      </c>
      <c r="H53" s="7">
        <v>60</v>
      </c>
      <c r="I53" s="7" t="s">
        <v>203</v>
      </c>
    </row>
    <row r="54" spans="1:9" ht="15" customHeight="1" x14ac:dyDescent="0.3">
      <c r="A54" s="7" t="s">
        <v>204</v>
      </c>
      <c r="B54" s="8">
        <v>45457</v>
      </c>
      <c r="C54" s="7" t="s">
        <v>89</v>
      </c>
      <c r="D54" s="7" t="s">
        <v>14</v>
      </c>
      <c r="E54" s="7" t="s">
        <v>75</v>
      </c>
      <c r="F54" s="7" t="s">
        <v>91</v>
      </c>
      <c r="G54" s="9">
        <v>500000</v>
      </c>
      <c r="H54" s="7">
        <v>15</v>
      </c>
      <c r="I54" s="7" t="s">
        <v>205</v>
      </c>
    </row>
    <row r="55" spans="1:9" ht="15" customHeight="1" x14ac:dyDescent="0.3">
      <c r="A55" s="7" t="s">
        <v>206</v>
      </c>
      <c r="B55" s="8">
        <v>45636</v>
      </c>
      <c r="C55" s="7" t="s">
        <v>207</v>
      </c>
      <c r="D55" s="7" t="s">
        <v>15</v>
      </c>
      <c r="E55" s="7" t="s">
        <v>94</v>
      </c>
      <c r="F55" s="7" t="s">
        <v>208</v>
      </c>
      <c r="G55" s="9">
        <v>500000</v>
      </c>
      <c r="H55" s="7">
        <v>60</v>
      </c>
      <c r="I55" s="7" t="s">
        <v>209</v>
      </c>
    </row>
    <row r="56" spans="1:9" ht="15" customHeight="1" x14ac:dyDescent="0.3">
      <c r="A56" s="7" t="s">
        <v>210</v>
      </c>
      <c r="B56" s="8">
        <v>45495</v>
      </c>
      <c r="C56" s="7" t="s">
        <v>28</v>
      </c>
      <c r="D56" s="7" t="s">
        <v>8</v>
      </c>
      <c r="E56" s="7" t="s">
        <v>75</v>
      </c>
      <c r="F56" s="7" t="s">
        <v>72</v>
      </c>
      <c r="G56" s="9">
        <v>500000</v>
      </c>
      <c r="H56" s="7">
        <v>45</v>
      </c>
      <c r="I56" s="7" t="s">
        <v>211</v>
      </c>
    </row>
    <row r="57" spans="1:9" ht="15" customHeight="1" x14ac:dyDescent="0.3">
      <c r="A57" s="7" t="s">
        <v>212</v>
      </c>
      <c r="B57" s="8">
        <v>45422</v>
      </c>
      <c r="C57" s="7" t="s">
        <v>59</v>
      </c>
      <c r="D57" s="7" t="s">
        <v>10</v>
      </c>
      <c r="E57" s="7" t="s">
        <v>94</v>
      </c>
      <c r="F57" s="7" t="s">
        <v>213</v>
      </c>
      <c r="G57" s="9">
        <v>500000</v>
      </c>
      <c r="H57" s="7">
        <v>30</v>
      </c>
      <c r="I57" s="7" t="s">
        <v>214</v>
      </c>
    </row>
    <row r="58" spans="1:9" ht="15" customHeight="1" x14ac:dyDescent="0.3">
      <c r="A58" s="7" t="s">
        <v>215</v>
      </c>
      <c r="B58" s="8">
        <v>45764</v>
      </c>
      <c r="C58" s="7" t="s">
        <v>26</v>
      </c>
      <c r="D58" s="7" t="s">
        <v>9</v>
      </c>
      <c r="E58" s="7" t="s">
        <v>75</v>
      </c>
      <c r="F58" s="7" t="s">
        <v>216</v>
      </c>
      <c r="G58" s="9">
        <v>500000</v>
      </c>
      <c r="H58" s="7">
        <v>45</v>
      </c>
      <c r="I58" s="7" t="s">
        <v>217</v>
      </c>
    </row>
    <row r="59" spans="1:9" ht="15" customHeight="1" x14ac:dyDescent="0.3">
      <c r="A59" s="7" t="s">
        <v>218</v>
      </c>
      <c r="B59" s="8">
        <v>45982</v>
      </c>
      <c r="C59" s="7" t="s">
        <v>138</v>
      </c>
      <c r="D59" s="7" t="s">
        <v>12</v>
      </c>
      <c r="E59" s="7" t="s">
        <v>94</v>
      </c>
      <c r="F59" s="7" t="s">
        <v>219</v>
      </c>
      <c r="G59" s="9">
        <v>500000</v>
      </c>
      <c r="H59" s="7">
        <v>60</v>
      </c>
      <c r="I59" s="7" t="s">
        <v>220</v>
      </c>
    </row>
    <row r="60" spans="1:9" ht="15" customHeight="1" x14ac:dyDescent="0.3">
      <c r="A60" s="7" t="s">
        <v>221</v>
      </c>
      <c r="B60" s="8">
        <v>45352</v>
      </c>
      <c r="C60" s="7" t="s">
        <v>157</v>
      </c>
      <c r="D60" s="7" t="s">
        <v>9</v>
      </c>
      <c r="E60" s="7" t="s">
        <v>71</v>
      </c>
      <c r="F60" s="7" t="s">
        <v>76</v>
      </c>
      <c r="G60" s="9">
        <v>500000</v>
      </c>
      <c r="H60" s="7">
        <v>15</v>
      </c>
      <c r="I60" s="7" t="s">
        <v>222</v>
      </c>
    </row>
    <row r="61" spans="1:9" ht="15" customHeight="1" x14ac:dyDescent="0.3">
      <c r="A61" s="7" t="s">
        <v>223</v>
      </c>
      <c r="B61" s="8">
        <v>45937</v>
      </c>
      <c r="C61" s="7" t="s">
        <v>20</v>
      </c>
      <c r="D61" s="7" t="s">
        <v>8</v>
      </c>
      <c r="E61" s="7" t="s">
        <v>75</v>
      </c>
      <c r="F61" s="7" t="s">
        <v>68</v>
      </c>
      <c r="G61" s="9">
        <v>500000</v>
      </c>
      <c r="H61" s="7">
        <v>60</v>
      </c>
      <c r="I61" s="7" t="s">
        <v>224</v>
      </c>
    </row>
    <row r="62" spans="1:9" ht="15" customHeight="1" x14ac:dyDescent="0.3">
      <c r="A62" s="7" t="s">
        <v>225</v>
      </c>
      <c r="B62" s="8">
        <v>45347</v>
      </c>
      <c r="C62" s="7" t="s">
        <v>23</v>
      </c>
      <c r="D62" s="7" t="s">
        <v>11</v>
      </c>
      <c r="E62" s="7" t="s">
        <v>75</v>
      </c>
      <c r="F62" s="7" t="s">
        <v>106</v>
      </c>
      <c r="G62" s="9">
        <v>500000</v>
      </c>
      <c r="H62" s="7">
        <v>45</v>
      </c>
      <c r="I62" s="7" t="s">
        <v>226</v>
      </c>
    </row>
    <row r="63" spans="1:9" ht="15" customHeight="1" x14ac:dyDescent="0.3">
      <c r="A63" s="7" t="s">
        <v>227</v>
      </c>
      <c r="B63" s="8">
        <v>45337</v>
      </c>
      <c r="C63" s="7" t="s">
        <v>24</v>
      </c>
      <c r="D63" s="7" t="s">
        <v>8</v>
      </c>
      <c r="E63" s="7" t="s">
        <v>71</v>
      </c>
      <c r="F63" s="7" t="s">
        <v>68</v>
      </c>
      <c r="G63" s="9">
        <v>500000</v>
      </c>
      <c r="H63" s="7">
        <v>30</v>
      </c>
      <c r="I63" s="7" t="s">
        <v>228</v>
      </c>
    </row>
    <row r="64" spans="1:9" ht="15" customHeight="1" x14ac:dyDescent="0.3">
      <c r="A64" s="7" t="s">
        <v>229</v>
      </c>
      <c r="B64" s="8">
        <v>45914</v>
      </c>
      <c r="C64" s="7" t="s">
        <v>230</v>
      </c>
      <c r="D64" s="7" t="s">
        <v>12</v>
      </c>
      <c r="E64" s="7" t="s">
        <v>90</v>
      </c>
      <c r="F64" s="7" t="s">
        <v>152</v>
      </c>
      <c r="G64" s="9">
        <v>500000</v>
      </c>
      <c r="H64" s="7">
        <v>90</v>
      </c>
      <c r="I64" s="7" t="s">
        <v>231</v>
      </c>
    </row>
    <row r="65" spans="1:9" ht="15" customHeight="1" x14ac:dyDescent="0.3">
      <c r="A65" s="7" t="s">
        <v>232</v>
      </c>
      <c r="B65" s="8">
        <v>45802</v>
      </c>
      <c r="C65" s="7" t="s">
        <v>147</v>
      </c>
      <c r="D65" s="7" t="s">
        <v>13</v>
      </c>
      <c r="E65" s="7" t="s">
        <v>75</v>
      </c>
      <c r="F65" s="7" t="s">
        <v>148</v>
      </c>
      <c r="G65" s="9">
        <v>500000</v>
      </c>
      <c r="H65" s="7">
        <v>30</v>
      </c>
      <c r="I65" s="7" t="s">
        <v>233</v>
      </c>
    </row>
    <row r="66" spans="1:9" ht="15" customHeight="1" x14ac:dyDescent="0.3">
      <c r="A66" s="7" t="s">
        <v>234</v>
      </c>
      <c r="B66" s="8">
        <v>45711</v>
      </c>
      <c r="C66" s="7" t="s">
        <v>151</v>
      </c>
      <c r="D66" s="7" t="s">
        <v>12</v>
      </c>
      <c r="E66" s="7" t="s">
        <v>75</v>
      </c>
      <c r="F66" s="7" t="s">
        <v>219</v>
      </c>
      <c r="G66" s="9">
        <v>500000</v>
      </c>
      <c r="H66" s="7">
        <v>30</v>
      </c>
      <c r="I66" s="7" t="s">
        <v>235</v>
      </c>
    </row>
    <row r="67" spans="1:9" ht="15" customHeight="1" x14ac:dyDescent="0.3">
      <c r="A67" s="7" t="s">
        <v>236</v>
      </c>
      <c r="B67" s="8">
        <v>45496</v>
      </c>
      <c r="C67" s="7" t="s">
        <v>24</v>
      </c>
      <c r="D67" s="7" t="s">
        <v>8</v>
      </c>
      <c r="E67" s="7" t="s">
        <v>75</v>
      </c>
      <c r="F67" s="7" t="s">
        <v>98</v>
      </c>
      <c r="G67" s="9">
        <v>500000</v>
      </c>
      <c r="H67" s="7">
        <v>30</v>
      </c>
      <c r="I67" s="7" t="s">
        <v>237</v>
      </c>
    </row>
    <row r="68" spans="1:9" ht="15" customHeight="1" x14ac:dyDescent="0.3">
      <c r="A68" s="7" t="s">
        <v>238</v>
      </c>
      <c r="B68" s="8">
        <v>45664</v>
      </c>
      <c r="C68" s="7" t="s">
        <v>125</v>
      </c>
      <c r="D68" s="7" t="s">
        <v>11</v>
      </c>
      <c r="E68" s="7" t="s">
        <v>60</v>
      </c>
      <c r="F68" s="7" t="s">
        <v>83</v>
      </c>
      <c r="G68" s="9">
        <v>500000</v>
      </c>
      <c r="H68" s="7">
        <v>90</v>
      </c>
      <c r="I68" s="7" t="s">
        <v>239</v>
      </c>
    </row>
    <row r="69" spans="1:9" ht="15" customHeight="1" x14ac:dyDescent="0.3">
      <c r="A69" s="7" t="s">
        <v>240</v>
      </c>
      <c r="B69" s="8">
        <v>45943</v>
      </c>
      <c r="C69" s="7" t="s">
        <v>19</v>
      </c>
      <c r="D69" s="7" t="s">
        <v>9</v>
      </c>
      <c r="E69" s="7" t="s">
        <v>94</v>
      </c>
      <c r="F69" s="7" t="s">
        <v>142</v>
      </c>
      <c r="G69" s="9">
        <v>500000</v>
      </c>
      <c r="H69" s="7">
        <v>45</v>
      </c>
      <c r="I69" s="7" t="s">
        <v>241</v>
      </c>
    </row>
    <row r="70" spans="1:9" ht="15" customHeight="1" x14ac:dyDescent="0.3">
      <c r="A70" s="7" t="s">
        <v>242</v>
      </c>
      <c r="B70" s="8">
        <v>45926</v>
      </c>
      <c r="C70" s="7" t="s">
        <v>28</v>
      </c>
      <c r="D70" s="7" t="s">
        <v>8</v>
      </c>
      <c r="E70" s="7" t="s">
        <v>75</v>
      </c>
      <c r="F70" s="7" t="s">
        <v>68</v>
      </c>
      <c r="G70" s="9">
        <v>500000</v>
      </c>
      <c r="H70" s="7">
        <v>60</v>
      </c>
      <c r="I70" s="7" t="s">
        <v>243</v>
      </c>
    </row>
    <row r="71" spans="1:9" ht="15" customHeight="1" x14ac:dyDescent="0.3">
      <c r="A71" s="7" t="s">
        <v>244</v>
      </c>
      <c r="B71" s="8">
        <v>45830</v>
      </c>
      <c r="C71" s="7" t="s">
        <v>64</v>
      </c>
      <c r="D71" s="7" t="s">
        <v>13</v>
      </c>
      <c r="E71" s="7" t="s">
        <v>75</v>
      </c>
      <c r="F71" s="7" t="s">
        <v>171</v>
      </c>
      <c r="G71" s="9">
        <v>500000</v>
      </c>
      <c r="H71" s="7">
        <v>60</v>
      </c>
      <c r="I71" s="7" t="s">
        <v>245</v>
      </c>
    </row>
    <row r="72" spans="1:9" ht="15" customHeight="1" x14ac:dyDescent="0.3">
      <c r="A72" s="7" t="s">
        <v>246</v>
      </c>
      <c r="B72" s="8">
        <v>45670</v>
      </c>
      <c r="C72" s="7" t="s">
        <v>151</v>
      </c>
      <c r="D72" s="7" t="s">
        <v>12</v>
      </c>
      <c r="E72" s="7" t="s">
        <v>71</v>
      </c>
      <c r="F72" s="7" t="s">
        <v>139</v>
      </c>
      <c r="G72" s="9">
        <v>500000</v>
      </c>
      <c r="H72" s="7">
        <v>60</v>
      </c>
      <c r="I72" s="7" t="s">
        <v>247</v>
      </c>
    </row>
    <row r="73" spans="1:9" ht="15" customHeight="1" x14ac:dyDescent="0.3">
      <c r="A73" s="7" t="s">
        <v>248</v>
      </c>
      <c r="B73" s="8">
        <v>45300</v>
      </c>
      <c r="C73" s="7" t="s">
        <v>22</v>
      </c>
      <c r="D73" s="7" t="s">
        <v>9</v>
      </c>
      <c r="E73" s="7" t="s">
        <v>60</v>
      </c>
      <c r="F73" s="7" t="s">
        <v>86</v>
      </c>
      <c r="G73" s="9">
        <v>500000</v>
      </c>
      <c r="H73" s="7">
        <v>45</v>
      </c>
      <c r="I73" s="7" t="s">
        <v>249</v>
      </c>
    </row>
    <row r="74" spans="1:9" ht="15" customHeight="1" x14ac:dyDescent="0.3">
      <c r="A74" s="7" t="s">
        <v>250</v>
      </c>
      <c r="B74" s="8">
        <v>45847</v>
      </c>
      <c r="C74" s="7" t="s">
        <v>26</v>
      </c>
      <c r="D74" s="7" t="s">
        <v>9</v>
      </c>
      <c r="E74" s="7" t="s">
        <v>75</v>
      </c>
      <c r="F74" s="7" t="s">
        <v>216</v>
      </c>
      <c r="G74" s="9">
        <v>500000</v>
      </c>
      <c r="H74" s="7">
        <v>90</v>
      </c>
      <c r="I74" s="7" t="s">
        <v>251</v>
      </c>
    </row>
    <row r="75" spans="1:9" ht="15" customHeight="1" x14ac:dyDescent="0.3">
      <c r="A75" s="7" t="s">
        <v>252</v>
      </c>
      <c r="B75" s="8">
        <v>45403</v>
      </c>
      <c r="C75" s="7" t="s">
        <v>24</v>
      </c>
      <c r="D75" s="7" t="s">
        <v>8</v>
      </c>
      <c r="E75" s="7" t="s">
        <v>60</v>
      </c>
      <c r="F75" s="7" t="s">
        <v>98</v>
      </c>
      <c r="G75" s="9">
        <v>500000</v>
      </c>
      <c r="H75" s="7">
        <v>15</v>
      </c>
      <c r="I75" s="7" t="s">
        <v>253</v>
      </c>
    </row>
    <row r="76" spans="1:9" ht="15" customHeight="1" x14ac:dyDescent="0.3">
      <c r="A76" s="7" t="s">
        <v>254</v>
      </c>
      <c r="B76" s="8">
        <v>45570</v>
      </c>
      <c r="C76" s="7" t="s">
        <v>255</v>
      </c>
      <c r="D76" s="7" t="s">
        <v>12</v>
      </c>
      <c r="E76" s="7" t="s">
        <v>90</v>
      </c>
      <c r="F76" s="7" t="s">
        <v>139</v>
      </c>
      <c r="G76" s="9">
        <v>500000</v>
      </c>
      <c r="H76" s="7">
        <v>30</v>
      </c>
      <c r="I76" s="7" t="s">
        <v>256</v>
      </c>
    </row>
    <row r="77" spans="1:9" ht="15" customHeight="1" x14ac:dyDescent="0.3">
      <c r="A77" s="7" t="s">
        <v>257</v>
      </c>
      <c r="B77" s="8">
        <v>45449</v>
      </c>
      <c r="C77" s="7" t="s">
        <v>24</v>
      </c>
      <c r="D77" s="7" t="s">
        <v>8</v>
      </c>
      <c r="E77" s="7" t="s">
        <v>90</v>
      </c>
      <c r="F77" s="7" t="s">
        <v>117</v>
      </c>
      <c r="G77" s="9">
        <v>500000</v>
      </c>
      <c r="H77" s="7">
        <v>60</v>
      </c>
      <c r="I77" s="7" t="s">
        <v>258</v>
      </c>
    </row>
    <row r="78" spans="1:9" ht="15" customHeight="1" x14ac:dyDescent="0.3">
      <c r="A78" s="7" t="s">
        <v>259</v>
      </c>
      <c r="B78" s="8">
        <v>45566</v>
      </c>
      <c r="C78" s="7" t="s">
        <v>25</v>
      </c>
      <c r="D78" s="7" t="s">
        <v>10</v>
      </c>
      <c r="E78" s="7" t="s">
        <v>71</v>
      </c>
      <c r="F78" s="7" t="s">
        <v>61</v>
      </c>
      <c r="G78" s="9">
        <v>500000</v>
      </c>
      <c r="H78" s="7">
        <v>30</v>
      </c>
      <c r="I78" s="7" t="s">
        <v>260</v>
      </c>
    </row>
    <row r="79" spans="1:9" ht="15" customHeight="1" x14ac:dyDescent="0.3">
      <c r="A79" s="7" t="s">
        <v>261</v>
      </c>
      <c r="B79" s="8">
        <v>45341</v>
      </c>
      <c r="C79" s="7" t="s">
        <v>22</v>
      </c>
      <c r="D79" s="7" t="s">
        <v>9</v>
      </c>
      <c r="E79" s="7" t="s">
        <v>94</v>
      </c>
      <c r="F79" s="7" t="s">
        <v>216</v>
      </c>
      <c r="G79" s="9">
        <v>500000</v>
      </c>
      <c r="H79" s="7">
        <v>60</v>
      </c>
      <c r="I79" s="7" t="s">
        <v>262</v>
      </c>
    </row>
    <row r="80" spans="1:9" ht="15" customHeight="1" x14ac:dyDescent="0.3">
      <c r="A80" s="7" t="s">
        <v>263</v>
      </c>
      <c r="B80" s="8">
        <v>45591</v>
      </c>
      <c r="C80" s="7" t="s">
        <v>230</v>
      </c>
      <c r="D80" s="7" t="s">
        <v>12</v>
      </c>
      <c r="E80" s="7" t="s">
        <v>60</v>
      </c>
      <c r="F80" s="7" t="s">
        <v>219</v>
      </c>
      <c r="G80" s="9">
        <v>500000</v>
      </c>
      <c r="H80" s="7">
        <v>15</v>
      </c>
      <c r="I80" s="7" t="s">
        <v>264</v>
      </c>
    </row>
    <row r="81" spans="1:9" ht="15" customHeight="1" x14ac:dyDescent="0.3">
      <c r="A81" s="7" t="s">
        <v>265</v>
      </c>
      <c r="B81" s="8">
        <v>45319</v>
      </c>
      <c r="C81" s="7" t="s">
        <v>26</v>
      </c>
      <c r="D81" s="7" t="s">
        <v>9</v>
      </c>
      <c r="E81" s="7" t="s">
        <v>75</v>
      </c>
      <c r="F81" s="7" t="s">
        <v>142</v>
      </c>
      <c r="G81" s="9">
        <v>500000</v>
      </c>
      <c r="H81" s="7">
        <v>45</v>
      </c>
      <c r="I81" s="7" t="s">
        <v>266</v>
      </c>
    </row>
    <row r="82" spans="1:9" ht="15" customHeight="1" x14ac:dyDescent="0.3">
      <c r="A82" s="7" t="s">
        <v>267</v>
      </c>
      <c r="B82" s="8">
        <v>45996</v>
      </c>
      <c r="C82" s="7" t="s">
        <v>230</v>
      </c>
      <c r="D82" s="7" t="s">
        <v>12</v>
      </c>
      <c r="E82" s="7" t="s">
        <v>60</v>
      </c>
      <c r="F82" s="7" t="s">
        <v>219</v>
      </c>
      <c r="G82" s="9">
        <v>500000</v>
      </c>
      <c r="H82" s="7">
        <v>45</v>
      </c>
      <c r="I82" s="7" t="s">
        <v>268</v>
      </c>
    </row>
    <row r="83" spans="1:9" ht="15" customHeight="1" x14ac:dyDescent="0.3">
      <c r="A83" s="7" t="s">
        <v>269</v>
      </c>
      <c r="B83" s="8">
        <v>46010</v>
      </c>
      <c r="C83" s="7" t="s">
        <v>97</v>
      </c>
      <c r="D83" s="7" t="s">
        <v>8</v>
      </c>
      <c r="E83" s="7" t="s">
        <v>75</v>
      </c>
      <c r="F83" s="7" t="s">
        <v>68</v>
      </c>
      <c r="G83" s="9">
        <v>500000</v>
      </c>
      <c r="H83" s="7">
        <v>30</v>
      </c>
      <c r="I83" s="7" t="s">
        <v>270</v>
      </c>
    </row>
    <row r="84" spans="1:9" ht="15" customHeight="1" x14ac:dyDescent="0.3">
      <c r="A84" s="7" t="s">
        <v>271</v>
      </c>
      <c r="B84" s="8">
        <v>45523</v>
      </c>
      <c r="C84" s="7" t="s">
        <v>131</v>
      </c>
      <c r="D84" s="7" t="s">
        <v>9</v>
      </c>
      <c r="E84" s="7" t="s">
        <v>60</v>
      </c>
      <c r="F84" s="7" t="s">
        <v>76</v>
      </c>
      <c r="G84" s="9">
        <v>500000</v>
      </c>
      <c r="H84" s="7">
        <v>60</v>
      </c>
      <c r="I84" s="7" t="s">
        <v>272</v>
      </c>
    </row>
    <row r="85" spans="1:9" ht="15" customHeight="1" x14ac:dyDescent="0.3">
      <c r="A85" s="7" t="s">
        <v>273</v>
      </c>
      <c r="B85" s="8">
        <v>45469</v>
      </c>
      <c r="C85" s="7" t="s">
        <v>101</v>
      </c>
      <c r="D85" s="7" t="s">
        <v>10</v>
      </c>
      <c r="E85" s="7" t="s">
        <v>75</v>
      </c>
      <c r="F85" s="7" t="s">
        <v>174</v>
      </c>
      <c r="G85" s="9">
        <v>500000</v>
      </c>
      <c r="H85" s="7">
        <v>30</v>
      </c>
      <c r="I85" s="7" t="s">
        <v>274</v>
      </c>
    </row>
    <row r="86" spans="1:9" ht="15" customHeight="1" x14ac:dyDescent="0.3">
      <c r="A86" s="7" t="s">
        <v>275</v>
      </c>
      <c r="B86" s="8">
        <v>45330</v>
      </c>
      <c r="C86" s="7" t="s">
        <v>26</v>
      </c>
      <c r="D86" s="7" t="s">
        <v>9</v>
      </c>
      <c r="E86" s="7" t="s">
        <v>94</v>
      </c>
      <c r="F86" s="7" t="s">
        <v>142</v>
      </c>
      <c r="G86" s="9">
        <v>500000</v>
      </c>
      <c r="H86" s="7">
        <v>60</v>
      </c>
      <c r="I86" s="7" t="s">
        <v>276</v>
      </c>
    </row>
    <row r="87" spans="1:9" ht="15" customHeight="1" x14ac:dyDescent="0.3">
      <c r="A87" s="7" t="s">
        <v>277</v>
      </c>
      <c r="B87" s="8">
        <v>45895</v>
      </c>
      <c r="C87" s="7" t="s">
        <v>157</v>
      </c>
      <c r="D87" s="7" t="s">
        <v>9</v>
      </c>
      <c r="E87" s="7" t="s">
        <v>75</v>
      </c>
      <c r="F87" s="7" t="s">
        <v>216</v>
      </c>
      <c r="G87" s="9">
        <v>500000</v>
      </c>
      <c r="H87" s="7">
        <v>15</v>
      </c>
      <c r="I87" s="7" t="s">
        <v>278</v>
      </c>
    </row>
    <row r="88" spans="1:9" ht="15" customHeight="1" x14ac:dyDescent="0.3">
      <c r="A88" s="7" t="s">
        <v>279</v>
      </c>
      <c r="B88" s="8">
        <v>45522</v>
      </c>
      <c r="C88" s="7" t="s">
        <v>21</v>
      </c>
      <c r="D88" s="7" t="s">
        <v>8</v>
      </c>
      <c r="E88" s="7" t="s">
        <v>60</v>
      </c>
      <c r="F88" s="7" t="s">
        <v>72</v>
      </c>
      <c r="G88" s="9">
        <v>500000</v>
      </c>
      <c r="H88" s="7">
        <v>60</v>
      </c>
      <c r="I88" s="7" t="s">
        <v>280</v>
      </c>
    </row>
    <row r="89" spans="1:9" ht="15" customHeight="1" x14ac:dyDescent="0.3">
      <c r="A89" s="7" t="s">
        <v>281</v>
      </c>
      <c r="B89" s="8">
        <v>45787</v>
      </c>
      <c r="C89" s="7" t="s">
        <v>19</v>
      </c>
      <c r="D89" s="7" t="s">
        <v>9</v>
      </c>
      <c r="E89" s="7" t="s">
        <v>94</v>
      </c>
      <c r="F89" s="7" t="s">
        <v>76</v>
      </c>
      <c r="G89" s="9">
        <v>500000</v>
      </c>
      <c r="H89" s="7">
        <v>30</v>
      </c>
      <c r="I89" s="7" t="s">
        <v>282</v>
      </c>
    </row>
    <row r="90" spans="1:9" ht="15" customHeight="1" x14ac:dyDescent="0.3">
      <c r="A90" s="7" t="s">
        <v>283</v>
      </c>
      <c r="B90" s="8">
        <v>45997</v>
      </c>
      <c r="C90" s="7" t="s">
        <v>97</v>
      </c>
      <c r="D90" s="7" t="s">
        <v>8</v>
      </c>
      <c r="E90" s="7" t="s">
        <v>71</v>
      </c>
      <c r="F90" s="7" t="s">
        <v>98</v>
      </c>
      <c r="G90" s="9">
        <v>500000</v>
      </c>
      <c r="H90" s="7">
        <v>30</v>
      </c>
      <c r="I90" s="7" t="s">
        <v>284</v>
      </c>
    </row>
    <row r="91" spans="1:9" ht="15" customHeight="1" x14ac:dyDescent="0.3">
      <c r="A91" s="7" t="s">
        <v>285</v>
      </c>
      <c r="B91" s="8">
        <v>45757</v>
      </c>
      <c r="C91" s="7" t="s">
        <v>24</v>
      </c>
      <c r="D91" s="7" t="s">
        <v>8</v>
      </c>
      <c r="E91" s="7" t="s">
        <v>75</v>
      </c>
      <c r="F91" s="7" t="s">
        <v>72</v>
      </c>
      <c r="G91" s="9">
        <v>500000</v>
      </c>
      <c r="H91" s="7">
        <v>30</v>
      </c>
      <c r="I91" s="7" t="s">
        <v>286</v>
      </c>
    </row>
    <row r="92" spans="1:9" ht="15" customHeight="1" x14ac:dyDescent="0.3">
      <c r="A92" s="7" t="s">
        <v>287</v>
      </c>
      <c r="B92" s="8">
        <v>45545</v>
      </c>
      <c r="C92" s="7" t="s">
        <v>19</v>
      </c>
      <c r="D92" s="7" t="s">
        <v>9</v>
      </c>
      <c r="E92" s="7" t="s">
        <v>75</v>
      </c>
      <c r="F92" s="7" t="s">
        <v>86</v>
      </c>
      <c r="G92" s="9">
        <v>500000</v>
      </c>
      <c r="H92" s="7">
        <v>60</v>
      </c>
      <c r="I92" s="7" t="s">
        <v>288</v>
      </c>
    </row>
    <row r="93" spans="1:9" ht="15" customHeight="1" x14ac:dyDescent="0.3">
      <c r="A93" s="7" t="s">
        <v>289</v>
      </c>
      <c r="B93" s="8">
        <v>45793</v>
      </c>
      <c r="C93" s="7" t="s">
        <v>113</v>
      </c>
      <c r="D93" s="7" t="s">
        <v>15</v>
      </c>
      <c r="E93" s="7" t="s">
        <v>90</v>
      </c>
      <c r="F93" s="7" t="s">
        <v>290</v>
      </c>
      <c r="G93" s="9">
        <v>500000</v>
      </c>
      <c r="H93" s="7">
        <v>45</v>
      </c>
      <c r="I93" s="7" t="s">
        <v>291</v>
      </c>
    </row>
    <row r="94" spans="1:9" ht="15" customHeight="1" x14ac:dyDescent="0.3">
      <c r="A94" s="7" t="s">
        <v>292</v>
      </c>
      <c r="B94" s="8">
        <v>45715</v>
      </c>
      <c r="C94" s="7" t="s">
        <v>131</v>
      </c>
      <c r="D94" s="7" t="s">
        <v>9</v>
      </c>
      <c r="E94" s="7" t="s">
        <v>60</v>
      </c>
      <c r="F94" s="7" t="s">
        <v>76</v>
      </c>
      <c r="G94" s="9">
        <v>500000</v>
      </c>
      <c r="H94" s="7">
        <v>15</v>
      </c>
      <c r="I94" s="7" t="s">
        <v>293</v>
      </c>
    </row>
    <row r="95" spans="1:9" ht="15" customHeight="1" x14ac:dyDescent="0.3">
      <c r="A95" s="7" t="s">
        <v>294</v>
      </c>
      <c r="B95" s="8">
        <v>45780</v>
      </c>
      <c r="C95" s="7" t="s">
        <v>131</v>
      </c>
      <c r="D95" s="7" t="s">
        <v>9</v>
      </c>
      <c r="E95" s="7" t="s">
        <v>60</v>
      </c>
      <c r="F95" s="7" t="s">
        <v>86</v>
      </c>
      <c r="G95" s="9">
        <v>500000</v>
      </c>
      <c r="H95" s="7">
        <v>30</v>
      </c>
      <c r="I95" s="7" t="s">
        <v>295</v>
      </c>
    </row>
    <row r="96" spans="1:9" ht="15" customHeight="1" x14ac:dyDescent="0.3">
      <c r="A96" s="7" t="s">
        <v>296</v>
      </c>
      <c r="B96" s="8">
        <v>45884</v>
      </c>
      <c r="C96" s="7" t="s">
        <v>24</v>
      </c>
      <c r="D96" s="7" t="s">
        <v>8</v>
      </c>
      <c r="E96" s="7" t="s">
        <v>71</v>
      </c>
      <c r="F96" s="7" t="s">
        <v>117</v>
      </c>
      <c r="G96" s="9">
        <v>500000</v>
      </c>
      <c r="H96" s="7">
        <v>30</v>
      </c>
      <c r="I96" s="7" t="s">
        <v>297</v>
      </c>
    </row>
    <row r="97" spans="1:9" ht="15" customHeight="1" x14ac:dyDescent="0.3">
      <c r="A97" s="7" t="s">
        <v>298</v>
      </c>
      <c r="B97" s="8">
        <v>45995</v>
      </c>
      <c r="C97" s="7" t="s">
        <v>64</v>
      </c>
      <c r="D97" s="7" t="s">
        <v>13</v>
      </c>
      <c r="E97" s="7" t="s">
        <v>94</v>
      </c>
      <c r="F97" s="7" t="s">
        <v>148</v>
      </c>
      <c r="G97" s="9">
        <v>500000</v>
      </c>
      <c r="H97" s="7">
        <v>90</v>
      </c>
      <c r="I97" s="7" t="s">
        <v>299</v>
      </c>
    </row>
    <row r="98" spans="1:9" ht="15" customHeight="1" x14ac:dyDescent="0.3">
      <c r="A98" s="7" t="s">
        <v>300</v>
      </c>
      <c r="B98" s="8">
        <v>45694</v>
      </c>
      <c r="C98" s="7" t="s">
        <v>20</v>
      </c>
      <c r="D98" s="7" t="s">
        <v>8</v>
      </c>
      <c r="E98" s="7" t="s">
        <v>60</v>
      </c>
      <c r="F98" s="7" t="s">
        <v>117</v>
      </c>
      <c r="G98" s="9">
        <v>500000</v>
      </c>
      <c r="H98" s="7">
        <v>15</v>
      </c>
      <c r="I98" s="7" t="s">
        <v>301</v>
      </c>
    </row>
    <row r="99" spans="1:9" ht="15" customHeight="1" x14ac:dyDescent="0.3">
      <c r="A99" s="7" t="s">
        <v>302</v>
      </c>
      <c r="B99" s="8">
        <v>45636</v>
      </c>
      <c r="C99" s="7" t="s">
        <v>22</v>
      </c>
      <c r="D99" s="7" t="s">
        <v>9</v>
      </c>
      <c r="E99" s="7" t="s">
        <v>90</v>
      </c>
      <c r="F99" s="7" t="s">
        <v>76</v>
      </c>
      <c r="G99" s="9">
        <v>500000</v>
      </c>
      <c r="H99" s="7">
        <v>60</v>
      </c>
      <c r="I99" s="7" t="s">
        <v>303</v>
      </c>
    </row>
    <row r="100" spans="1:9" ht="15" customHeight="1" x14ac:dyDescent="0.3">
      <c r="A100" s="7" t="s">
        <v>304</v>
      </c>
      <c r="B100" s="8">
        <v>45952</v>
      </c>
      <c r="C100" s="7" t="s">
        <v>138</v>
      </c>
      <c r="D100" s="7" t="s">
        <v>12</v>
      </c>
      <c r="E100" s="7" t="s">
        <v>60</v>
      </c>
      <c r="F100" s="7" t="s">
        <v>152</v>
      </c>
      <c r="G100" s="9">
        <v>500000</v>
      </c>
      <c r="H100" s="7">
        <v>90</v>
      </c>
      <c r="I100" s="7" t="s">
        <v>305</v>
      </c>
    </row>
    <row r="101" spans="1:9" ht="15" customHeight="1" x14ac:dyDescent="0.3">
      <c r="A101" s="7" t="s">
        <v>306</v>
      </c>
      <c r="B101" s="8">
        <v>45354</v>
      </c>
      <c r="C101" s="7" t="s">
        <v>89</v>
      </c>
      <c r="D101" s="7" t="s">
        <v>14</v>
      </c>
      <c r="E101" s="7" t="s">
        <v>75</v>
      </c>
      <c r="F101" s="7" t="s">
        <v>128</v>
      </c>
      <c r="G101" s="9">
        <v>500000</v>
      </c>
      <c r="H101" s="7">
        <v>15</v>
      </c>
      <c r="I101" s="7" t="s">
        <v>307</v>
      </c>
    </row>
    <row r="102" spans="1:9" ht="15" customHeight="1" x14ac:dyDescent="0.3">
      <c r="A102" s="7" t="s">
        <v>308</v>
      </c>
      <c r="B102" s="8">
        <v>46001</v>
      </c>
      <c r="C102" s="7" t="s">
        <v>24</v>
      </c>
      <c r="D102" s="7" t="s">
        <v>8</v>
      </c>
      <c r="E102" s="7" t="s">
        <v>75</v>
      </c>
      <c r="F102" s="7" t="s">
        <v>72</v>
      </c>
      <c r="G102" s="9">
        <v>500000</v>
      </c>
      <c r="H102" s="7">
        <v>60</v>
      </c>
      <c r="I102" s="7" t="s">
        <v>309</v>
      </c>
    </row>
    <row r="103" spans="1:9" ht="15" customHeight="1" x14ac:dyDescent="0.3">
      <c r="A103" s="7" t="s">
        <v>310</v>
      </c>
      <c r="B103" s="8">
        <v>45671</v>
      </c>
      <c r="C103" s="7" t="s">
        <v>19</v>
      </c>
      <c r="D103" s="7" t="s">
        <v>9</v>
      </c>
      <c r="E103" s="7" t="s">
        <v>75</v>
      </c>
      <c r="F103" s="7" t="s">
        <v>216</v>
      </c>
      <c r="G103" s="9">
        <v>500000</v>
      </c>
      <c r="H103" s="7">
        <v>60</v>
      </c>
      <c r="I103" s="7" t="s">
        <v>311</v>
      </c>
    </row>
    <row r="104" spans="1:9" ht="15" customHeight="1" x14ac:dyDescent="0.3">
      <c r="A104" s="7" t="s">
        <v>312</v>
      </c>
      <c r="B104" s="8">
        <v>45949</v>
      </c>
      <c r="C104" s="7" t="s">
        <v>131</v>
      </c>
      <c r="D104" s="7" t="s">
        <v>9</v>
      </c>
      <c r="E104" s="7" t="s">
        <v>75</v>
      </c>
      <c r="F104" s="7" t="s">
        <v>86</v>
      </c>
      <c r="G104" s="9">
        <v>500000</v>
      </c>
      <c r="H104" s="7">
        <v>15</v>
      </c>
      <c r="I104" s="7" t="s">
        <v>313</v>
      </c>
    </row>
    <row r="105" spans="1:9" ht="15" customHeight="1" x14ac:dyDescent="0.3">
      <c r="A105" s="7" t="s">
        <v>314</v>
      </c>
      <c r="B105" s="8">
        <v>45732</v>
      </c>
      <c r="C105" s="7" t="s">
        <v>315</v>
      </c>
      <c r="D105" s="7" t="s">
        <v>16</v>
      </c>
      <c r="E105" s="7" t="s">
        <v>90</v>
      </c>
      <c r="F105" s="7" t="s">
        <v>316</v>
      </c>
      <c r="G105" s="9">
        <v>500000</v>
      </c>
      <c r="H105" s="7">
        <v>60</v>
      </c>
      <c r="I105" s="7" t="s">
        <v>317</v>
      </c>
    </row>
    <row r="106" spans="1:9" ht="15" customHeight="1" x14ac:dyDescent="0.3">
      <c r="A106" s="7" t="s">
        <v>318</v>
      </c>
      <c r="B106" s="8">
        <v>45704</v>
      </c>
      <c r="C106" s="7" t="s">
        <v>27</v>
      </c>
      <c r="D106" s="7" t="s">
        <v>10</v>
      </c>
      <c r="E106" s="7" t="s">
        <v>94</v>
      </c>
      <c r="F106" s="7" t="s">
        <v>213</v>
      </c>
      <c r="G106" s="9">
        <v>500000</v>
      </c>
      <c r="H106" s="7">
        <v>30</v>
      </c>
      <c r="I106" s="7" t="s">
        <v>319</v>
      </c>
    </row>
    <row r="107" spans="1:9" ht="15" customHeight="1" x14ac:dyDescent="0.3">
      <c r="A107" s="7" t="s">
        <v>320</v>
      </c>
      <c r="B107" s="8">
        <v>45879</v>
      </c>
      <c r="C107" s="7" t="s">
        <v>131</v>
      </c>
      <c r="D107" s="7" t="s">
        <v>9</v>
      </c>
      <c r="E107" s="7" t="s">
        <v>75</v>
      </c>
      <c r="F107" s="7" t="s">
        <v>86</v>
      </c>
      <c r="G107" s="9">
        <v>500000</v>
      </c>
      <c r="H107" s="7">
        <v>60</v>
      </c>
      <c r="I107" s="7" t="s">
        <v>321</v>
      </c>
    </row>
    <row r="108" spans="1:9" ht="15" customHeight="1" x14ac:dyDescent="0.3">
      <c r="A108" s="7" t="s">
        <v>322</v>
      </c>
      <c r="B108" s="8">
        <v>45423</v>
      </c>
      <c r="C108" s="7" t="s">
        <v>207</v>
      </c>
      <c r="D108" s="7" t="s">
        <v>15</v>
      </c>
      <c r="E108" s="7" t="s">
        <v>71</v>
      </c>
      <c r="F108" s="7" t="s">
        <v>290</v>
      </c>
      <c r="G108" s="9">
        <v>500000</v>
      </c>
      <c r="H108" s="7">
        <v>15</v>
      </c>
      <c r="I108" s="7" t="s">
        <v>323</v>
      </c>
    </row>
    <row r="109" spans="1:9" ht="15" customHeight="1" x14ac:dyDescent="0.3">
      <c r="A109" s="7" t="s">
        <v>324</v>
      </c>
      <c r="B109" s="8">
        <v>45883</v>
      </c>
      <c r="C109" s="7" t="s">
        <v>79</v>
      </c>
      <c r="D109" s="7" t="s">
        <v>16</v>
      </c>
      <c r="E109" s="7" t="s">
        <v>75</v>
      </c>
      <c r="F109" s="7" t="s">
        <v>202</v>
      </c>
      <c r="G109" s="9">
        <v>500000</v>
      </c>
      <c r="H109" s="7">
        <v>15</v>
      </c>
      <c r="I109" s="7" t="s">
        <v>325</v>
      </c>
    </row>
    <row r="110" spans="1:9" ht="15" customHeight="1" x14ac:dyDescent="0.3">
      <c r="A110" s="7" t="s">
        <v>326</v>
      </c>
      <c r="B110" s="8">
        <v>45430</v>
      </c>
      <c r="C110" s="7" t="s">
        <v>28</v>
      </c>
      <c r="D110" s="7" t="s">
        <v>8</v>
      </c>
      <c r="E110" s="7" t="s">
        <v>75</v>
      </c>
      <c r="F110" s="7" t="s">
        <v>68</v>
      </c>
      <c r="G110" s="9">
        <v>500000</v>
      </c>
      <c r="H110" s="7">
        <v>30</v>
      </c>
      <c r="I110" s="7" t="s">
        <v>327</v>
      </c>
    </row>
    <row r="111" spans="1:9" ht="15" customHeight="1" x14ac:dyDescent="0.3">
      <c r="A111" s="7" t="s">
        <v>328</v>
      </c>
      <c r="B111" s="8">
        <v>45956</v>
      </c>
      <c r="C111" s="7" t="s">
        <v>89</v>
      </c>
      <c r="D111" s="7" t="s">
        <v>14</v>
      </c>
      <c r="E111" s="7" t="s">
        <v>75</v>
      </c>
      <c r="F111" s="7" t="s">
        <v>120</v>
      </c>
      <c r="G111" s="9">
        <v>500000</v>
      </c>
      <c r="H111" s="7">
        <v>30</v>
      </c>
      <c r="I111" s="7" t="s">
        <v>329</v>
      </c>
    </row>
    <row r="112" spans="1:9" ht="15" customHeight="1" x14ac:dyDescent="0.3">
      <c r="A112" s="7" t="s">
        <v>330</v>
      </c>
      <c r="B112" s="8">
        <v>45703</v>
      </c>
      <c r="C112" s="7" t="s">
        <v>331</v>
      </c>
      <c r="D112" s="7" t="s">
        <v>11</v>
      </c>
      <c r="E112" s="7" t="s">
        <v>75</v>
      </c>
      <c r="F112" s="7" t="s">
        <v>332</v>
      </c>
      <c r="G112" s="9">
        <v>500000</v>
      </c>
      <c r="H112" s="7">
        <v>15</v>
      </c>
      <c r="I112" s="7" t="s">
        <v>333</v>
      </c>
    </row>
    <row r="113" spans="1:9" ht="15" customHeight="1" x14ac:dyDescent="0.3">
      <c r="A113" s="7" t="s">
        <v>334</v>
      </c>
      <c r="B113" s="8">
        <v>45877</v>
      </c>
      <c r="C113" s="7" t="s">
        <v>59</v>
      </c>
      <c r="D113" s="7" t="s">
        <v>10</v>
      </c>
      <c r="E113" s="7" t="s">
        <v>60</v>
      </c>
      <c r="F113" s="7" t="s">
        <v>174</v>
      </c>
      <c r="G113" s="9">
        <v>500000</v>
      </c>
      <c r="H113" s="7">
        <v>45</v>
      </c>
      <c r="I113" s="7" t="s">
        <v>335</v>
      </c>
    </row>
    <row r="114" spans="1:9" ht="15" customHeight="1" x14ac:dyDescent="0.3">
      <c r="A114" s="7" t="s">
        <v>336</v>
      </c>
      <c r="B114" s="8">
        <v>45484</v>
      </c>
      <c r="C114" s="7" t="s">
        <v>19</v>
      </c>
      <c r="D114" s="7" t="s">
        <v>9</v>
      </c>
      <c r="E114" s="7" t="s">
        <v>75</v>
      </c>
      <c r="F114" s="7" t="s">
        <v>86</v>
      </c>
      <c r="G114" s="9">
        <v>500000</v>
      </c>
      <c r="H114" s="7">
        <v>90</v>
      </c>
      <c r="I114" s="7" t="s">
        <v>337</v>
      </c>
    </row>
    <row r="115" spans="1:9" ht="15" customHeight="1" x14ac:dyDescent="0.3">
      <c r="A115" s="7" t="s">
        <v>338</v>
      </c>
      <c r="B115" s="8">
        <v>45977</v>
      </c>
      <c r="C115" s="7" t="s">
        <v>26</v>
      </c>
      <c r="D115" s="7" t="s">
        <v>9</v>
      </c>
      <c r="E115" s="7" t="s">
        <v>94</v>
      </c>
      <c r="F115" s="7" t="s">
        <v>76</v>
      </c>
      <c r="G115" s="9">
        <v>500000</v>
      </c>
      <c r="H115" s="7">
        <v>90</v>
      </c>
      <c r="I115" s="7" t="s">
        <v>339</v>
      </c>
    </row>
    <row r="116" spans="1:9" ht="15" customHeight="1" x14ac:dyDescent="0.3">
      <c r="A116" s="7" t="s">
        <v>340</v>
      </c>
      <c r="B116" s="8">
        <v>45853</v>
      </c>
      <c r="C116" s="7" t="s">
        <v>97</v>
      </c>
      <c r="D116" s="7" t="s">
        <v>8</v>
      </c>
      <c r="E116" s="7" t="s">
        <v>75</v>
      </c>
      <c r="F116" s="7" t="s">
        <v>72</v>
      </c>
      <c r="G116" s="9">
        <v>500000</v>
      </c>
      <c r="H116" s="7">
        <v>30</v>
      </c>
      <c r="I116" s="7" t="s">
        <v>341</v>
      </c>
    </row>
    <row r="117" spans="1:9" ht="15" customHeight="1" x14ac:dyDescent="0.3">
      <c r="A117" s="7" t="s">
        <v>342</v>
      </c>
      <c r="B117" s="8">
        <v>45840</v>
      </c>
      <c r="C117" s="7" t="s">
        <v>147</v>
      </c>
      <c r="D117" s="7" t="s">
        <v>13</v>
      </c>
      <c r="E117" s="7" t="s">
        <v>94</v>
      </c>
      <c r="F117" s="7" t="s">
        <v>148</v>
      </c>
      <c r="G117" s="9">
        <v>500000</v>
      </c>
      <c r="H117" s="7">
        <v>30</v>
      </c>
      <c r="I117" s="7" t="s">
        <v>343</v>
      </c>
    </row>
    <row r="118" spans="1:9" ht="15" customHeight="1" x14ac:dyDescent="0.3">
      <c r="A118" s="7" t="s">
        <v>344</v>
      </c>
      <c r="B118" s="8">
        <v>45966</v>
      </c>
      <c r="C118" s="7" t="s">
        <v>125</v>
      </c>
      <c r="D118" s="7" t="s">
        <v>11</v>
      </c>
      <c r="E118" s="7" t="s">
        <v>71</v>
      </c>
      <c r="F118" s="7" t="s">
        <v>332</v>
      </c>
      <c r="G118" s="9">
        <v>500000</v>
      </c>
      <c r="H118" s="7">
        <v>45</v>
      </c>
      <c r="I118" s="7" t="s">
        <v>345</v>
      </c>
    </row>
    <row r="119" spans="1:9" ht="15" customHeight="1" x14ac:dyDescent="0.3">
      <c r="A119" s="7" t="s">
        <v>346</v>
      </c>
      <c r="B119" s="8">
        <v>45873</v>
      </c>
      <c r="C119" s="7" t="s">
        <v>207</v>
      </c>
      <c r="D119" s="7" t="s">
        <v>15</v>
      </c>
      <c r="E119" s="7" t="s">
        <v>60</v>
      </c>
      <c r="F119" s="7" t="s">
        <v>208</v>
      </c>
      <c r="G119" s="9">
        <v>500000</v>
      </c>
      <c r="H119" s="7">
        <v>60</v>
      </c>
      <c r="I119" s="7" t="s">
        <v>347</v>
      </c>
    </row>
    <row r="120" spans="1:9" ht="15" customHeight="1" x14ac:dyDescent="0.3">
      <c r="A120" s="7" t="s">
        <v>348</v>
      </c>
      <c r="B120" s="8">
        <v>45338</v>
      </c>
      <c r="C120" s="7" t="s">
        <v>349</v>
      </c>
      <c r="D120" s="7" t="s">
        <v>14</v>
      </c>
      <c r="E120" s="7" t="s">
        <v>60</v>
      </c>
      <c r="F120" s="7" t="s">
        <v>120</v>
      </c>
      <c r="G120" s="9">
        <v>500000</v>
      </c>
      <c r="H120" s="7">
        <v>90</v>
      </c>
      <c r="I120" s="7" t="s">
        <v>350</v>
      </c>
    </row>
    <row r="121" spans="1:9" ht="15" customHeight="1" x14ac:dyDescent="0.3">
      <c r="A121" s="7" t="s">
        <v>351</v>
      </c>
      <c r="B121" s="8">
        <v>45836</v>
      </c>
      <c r="C121" s="7" t="s">
        <v>207</v>
      </c>
      <c r="D121" s="7" t="s">
        <v>15</v>
      </c>
      <c r="E121" s="7" t="s">
        <v>75</v>
      </c>
      <c r="F121" s="7" t="s">
        <v>208</v>
      </c>
      <c r="G121" s="9">
        <v>500000</v>
      </c>
      <c r="H121" s="7">
        <v>60</v>
      </c>
      <c r="I121" s="7" t="s">
        <v>352</v>
      </c>
    </row>
    <row r="122" spans="1:9" ht="15" customHeight="1" x14ac:dyDescent="0.3">
      <c r="A122" s="7" t="s">
        <v>353</v>
      </c>
      <c r="B122" s="8">
        <v>45897</v>
      </c>
      <c r="C122" s="7" t="s">
        <v>230</v>
      </c>
      <c r="D122" s="7" t="s">
        <v>12</v>
      </c>
      <c r="E122" s="7" t="s">
        <v>75</v>
      </c>
      <c r="F122" s="7" t="s">
        <v>219</v>
      </c>
      <c r="G122" s="9">
        <v>500000</v>
      </c>
      <c r="H122" s="7">
        <v>60</v>
      </c>
      <c r="I122" s="7" t="s">
        <v>354</v>
      </c>
    </row>
    <row r="123" spans="1:9" ht="15" customHeight="1" x14ac:dyDescent="0.3">
      <c r="A123" s="7" t="s">
        <v>355</v>
      </c>
      <c r="B123" s="8">
        <v>45713</v>
      </c>
      <c r="C123" s="7" t="s">
        <v>97</v>
      </c>
      <c r="D123" s="7" t="s">
        <v>8</v>
      </c>
      <c r="E123" s="7" t="s">
        <v>60</v>
      </c>
      <c r="F123" s="7" t="s">
        <v>117</v>
      </c>
      <c r="G123" s="9">
        <v>500000</v>
      </c>
      <c r="H123" s="7">
        <v>60</v>
      </c>
      <c r="I123" s="7" t="s">
        <v>356</v>
      </c>
    </row>
    <row r="124" spans="1:9" ht="15" customHeight="1" x14ac:dyDescent="0.3">
      <c r="A124" s="7" t="s">
        <v>357</v>
      </c>
      <c r="B124" s="8">
        <v>45469</v>
      </c>
      <c r="C124" s="7" t="s">
        <v>23</v>
      </c>
      <c r="D124" s="7" t="s">
        <v>11</v>
      </c>
      <c r="E124" s="7" t="s">
        <v>60</v>
      </c>
      <c r="F124" s="7" t="s">
        <v>83</v>
      </c>
      <c r="G124" s="9">
        <v>500000</v>
      </c>
      <c r="H124" s="7">
        <v>15</v>
      </c>
      <c r="I124" s="7" t="s">
        <v>358</v>
      </c>
    </row>
    <row r="125" spans="1:9" ht="15" customHeight="1" x14ac:dyDescent="0.3">
      <c r="A125" s="7" t="s">
        <v>359</v>
      </c>
      <c r="B125" s="8">
        <v>45987</v>
      </c>
      <c r="C125" s="7" t="s">
        <v>21</v>
      </c>
      <c r="D125" s="7" t="s">
        <v>8</v>
      </c>
      <c r="E125" s="7" t="s">
        <v>75</v>
      </c>
      <c r="F125" s="7" t="s">
        <v>117</v>
      </c>
      <c r="G125" s="9">
        <v>500000</v>
      </c>
      <c r="H125" s="7">
        <v>30</v>
      </c>
      <c r="I125" s="7" t="s">
        <v>360</v>
      </c>
    </row>
    <row r="126" spans="1:9" ht="15" customHeight="1" x14ac:dyDescent="0.3">
      <c r="A126" s="7" t="s">
        <v>361</v>
      </c>
      <c r="B126" s="8">
        <v>45724</v>
      </c>
      <c r="C126" s="7" t="s">
        <v>28</v>
      </c>
      <c r="D126" s="7" t="s">
        <v>8</v>
      </c>
      <c r="E126" s="7" t="s">
        <v>60</v>
      </c>
      <c r="F126" s="7" t="s">
        <v>117</v>
      </c>
      <c r="G126" s="9">
        <v>500000</v>
      </c>
      <c r="H126" s="7">
        <v>45</v>
      </c>
      <c r="I126" s="7" t="s">
        <v>362</v>
      </c>
    </row>
    <row r="127" spans="1:9" ht="15" customHeight="1" x14ac:dyDescent="0.3">
      <c r="A127" s="7" t="s">
        <v>363</v>
      </c>
      <c r="B127" s="8">
        <v>45906</v>
      </c>
      <c r="C127" s="7" t="s">
        <v>25</v>
      </c>
      <c r="D127" s="7" t="s">
        <v>10</v>
      </c>
      <c r="E127" s="7" t="s">
        <v>75</v>
      </c>
      <c r="F127" s="7" t="s">
        <v>213</v>
      </c>
      <c r="G127" s="9">
        <v>500000</v>
      </c>
      <c r="H127" s="7">
        <v>15</v>
      </c>
      <c r="I127" s="7" t="s">
        <v>364</v>
      </c>
    </row>
    <row r="128" spans="1:9" ht="15" customHeight="1" x14ac:dyDescent="0.3">
      <c r="A128" s="7" t="s">
        <v>365</v>
      </c>
      <c r="B128" s="8">
        <v>46000</v>
      </c>
      <c r="C128" s="7" t="s">
        <v>19</v>
      </c>
      <c r="D128" s="7" t="s">
        <v>9</v>
      </c>
      <c r="E128" s="7" t="s">
        <v>75</v>
      </c>
      <c r="F128" s="7" t="s">
        <v>76</v>
      </c>
      <c r="G128" s="9">
        <v>500000</v>
      </c>
      <c r="H128" s="7">
        <v>45</v>
      </c>
      <c r="I128" s="7" t="s">
        <v>366</v>
      </c>
    </row>
    <row r="129" spans="1:9" ht="15" customHeight="1" x14ac:dyDescent="0.3">
      <c r="A129" s="7" t="s">
        <v>367</v>
      </c>
      <c r="B129" s="8">
        <v>45942</v>
      </c>
      <c r="C129" s="7" t="s">
        <v>151</v>
      </c>
      <c r="D129" s="7" t="s">
        <v>12</v>
      </c>
      <c r="E129" s="7" t="s">
        <v>60</v>
      </c>
      <c r="F129" s="7" t="s">
        <v>152</v>
      </c>
      <c r="G129" s="9">
        <v>500000</v>
      </c>
      <c r="H129" s="7">
        <v>60</v>
      </c>
      <c r="I129" s="7" t="s">
        <v>368</v>
      </c>
    </row>
    <row r="130" spans="1:9" ht="15" customHeight="1" x14ac:dyDescent="0.3">
      <c r="A130" s="7" t="s">
        <v>369</v>
      </c>
      <c r="B130" s="8">
        <v>45986</v>
      </c>
      <c r="C130" s="7" t="s">
        <v>20</v>
      </c>
      <c r="D130" s="7" t="s">
        <v>8</v>
      </c>
      <c r="E130" s="7" t="s">
        <v>90</v>
      </c>
      <c r="F130" s="7" t="s">
        <v>68</v>
      </c>
      <c r="G130" s="9">
        <v>500000</v>
      </c>
      <c r="H130" s="7">
        <v>60</v>
      </c>
      <c r="I130" s="7" t="s">
        <v>370</v>
      </c>
    </row>
    <row r="131" spans="1:9" ht="15" customHeight="1" x14ac:dyDescent="0.3">
      <c r="A131" s="7" t="s">
        <v>371</v>
      </c>
      <c r="B131" s="8">
        <v>45402</v>
      </c>
      <c r="C131" s="7" t="s">
        <v>79</v>
      </c>
      <c r="D131" s="7" t="s">
        <v>16</v>
      </c>
      <c r="E131" s="7" t="s">
        <v>94</v>
      </c>
      <c r="F131" s="7" t="s">
        <v>80</v>
      </c>
      <c r="G131" s="9">
        <v>500000</v>
      </c>
      <c r="H131" s="7">
        <v>90</v>
      </c>
      <c r="I131" s="7" t="s">
        <v>372</v>
      </c>
    </row>
  </sheetData>
  <autoFilter ref="A1:I131" xr:uid="{00000000-0009-0000-0000-000001000000}"/>
  <dataValidations count="2">
    <dataValidation type="list" allowBlank="1" error="Please select a valid category" prompt="Select category" sqref="D2:D131" xr:uid="{00000000-0002-0000-0100-000000000000}">
      <formula1>"Fresh Produce,Packaged Foods,Beverages,Packaging Materials,Logistics &amp; Transport,Store Equipment,IT Services,Marketing &amp; Advertising,Facilities Management"</formula1>
      <formula2>0</formula2>
    </dataValidation>
    <dataValidation type="list" allowBlank="1" sqref="E2:E131" xr:uid="{00000000-0002-0000-0100-000001000000}">
      <formula1>"Austria,Germany,Ireland,Netherlands,UK"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H52"/>
  <sheetViews>
    <sheetView zoomScaleNormal="100" workbookViewId="0">
      <pane ySplit="3" topLeftCell="A4" activePane="bottomLeft" state="frozen"/>
      <selection pane="bottomLeft" activeCell="B50" sqref="B50"/>
    </sheetView>
  </sheetViews>
  <sheetFormatPr defaultColWidth="8.6640625" defaultRowHeight="14.4" x14ac:dyDescent="0.3"/>
  <cols>
    <col min="1" max="1" width="22" customWidth="1"/>
    <col min="2" max="2" width="20" customWidth="1"/>
    <col min="3" max="3" width="24" customWidth="1"/>
    <col min="4" max="6" width="16" customWidth="1"/>
    <col min="7" max="8" width="14" customWidth="1"/>
  </cols>
  <sheetData>
    <row r="1" spans="1:8" ht="19.5" customHeight="1" x14ac:dyDescent="0.4">
      <c r="A1" s="49" t="s">
        <v>373</v>
      </c>
      <c r="B1" s="49"/>
      <c r="C1" s="49"/>
      <c r="D1" s="49"/>
      <c r="E1" s="49"/>
      <c r="F1" s="49"/>
      <c r="G1" s="49"/>
      <c r="H1" s="49"/>
    </row>
    <row r="3" spans="1:8" ht="26.25" customHeight="1" x14ac:dyDescent="0.3">
      <c r="A3" s="6" t="s">
        <v>6</v>
      </c>
      <c r="B3" s="6" t="s">
        <v>54</v>
      </c>
      <c r="C3" s="6" t="s">
        <v>52</v>
      </c>
      <c r="D3" s="6" t="s">
        <v>53</v>
      </c>
      <c r="E3" s="6" t="s">
        <v>374</v>
      </c>
      <c r="F3" s="6" t="s">
        <v>7</v>
      </c>
      <c r="G3" s="6" t="s">
        <v>375</v>
      </c>
      <c r="H3" s="6" t="s">
        <v>376</v>
      </c>
    </row>
    <row r="4" spans="1:8" ht="15" customHeight="1" x14ac:dyDescent="0.3">
      <c r="A4" s="10" t="s">
        <v>8</v>
      </c>
      <c r="B4" s="7" t="s">
        <v>72</v>
      </c>
      <c r="C4" s="7" t="s">
        <v>20</v>
      </c>
      <c r="D4" s="7" t="s">
        <v>75</v>
      </c>
      <c r="E4" s="9">
        <v>4477469</v>
      </c>
      <c r="F4" s="9">
        <v>4802344</v>
      </c>
      <c r="G4" s="11">
        <f t="shared" ref="G4:G39" si="0">IFERROR((F4-E4)/E4,0)</f>
        <v>7.2557732951361587E-2</v>
      </c>
      <c r="H4" s="11">
        <f t="shared" ref="H4:H38" si="1">IFERROR(F4/SUM(F$4:F$38),0)</f>
        <v>8.2676650233061907E-2</v>
      </c>
    </row>
    <row r="5" spans="1:8" ht="15" customHeight="1" x14ac:dyDescent="0.3">
      <c r="A5" s="10" t="s">
        <v>8</v>
      </c>
      <c r="B5" s="7" t="s">
        <v>117</v>
      </c>
      <c r="C5" s="7" t="s">
        <v>20</v>
      </c>
      <c r="D5" s="7" t="s">
        <v>94</v>
      </c>
      <c r="E5" s="9">
        <v>2222838</v>
      </c>
      <c r="F5" s="9">
        <v>2453076</v>
      </c>
      <c r="G5" s="11">
        <f t="shared" si="0"/>
        <v>0.10357839842579621</v>
      </c>
      <c r="H5" s="11">
        <f t="shared" si="1"/>
        <v>4.2231898932504328E-2</v>
      </c>
    </row>
    <row r="6" spans="1:8" ht="15" customHeight="1" x14ac:dyDescent="0.3">
      <c r="A6" s="10" t="s">
        <v>8</v>
      </c>
      <c r="B6" s="7" t="s">
        <v>98</v>
      </c>
      <c r="C6" s="7" t="s">
        <v>21</v>
      </c>
      <c r="D6" s="7" t="s">
        <v>60</v>
      </c>
      <c r="E6" s="9">
        <v>2978245</v>
      </c>
      <c r="F6" s="9">
        <v>3200127</v>
      </c>
      <c r="G6" s="11">
        <f t="shared" si="0"/>
        <v>7.4500922523163815E-2</v>
      </c>
      <c r="H6" s="11">
        <f t="shared" si="1"/>
        <v>5.5093050535400562E-2</v>
      </c>
    </row>
    <row r="7" spans="1:8" ht="15" customHeight="1" x14ac:dyDescent="0.3">
      <c r="A7" s="10" t="s">
        <v>8</v>
      </c>
      <c r="B7" s="7" t="s">
        <v>98</v>
      </c>
      <c r="C7" s="7" t="s">
        <v>21</v>
      </c>
      <c r="D7" s="7" t="s">
        <v>90</v>
      </c>
      <c r="E7" s="9">
        <v>1487026</v>
      </c>
      <c r="F7" s="9">
        <v>1495267</v>
      </c>
      <c r="G7" s="11">
        <f t="shared" si="0"/>
        <v>5.5419340347781414E-3</v>
      </c>
      <c r="H7" s="11">
        <f t="shared" si="1"/>
        <v>2.574235972350997E-2</v>
      </c>
    </row>
    <row r="8" spans="1:8" ht="15" customHeight="1" x14ac:dyDescent="0.3">
      <c r="A8" s="10" t="s">
        <v>8</v>
      </c>
      <c r="B8" s="7" t="s">
        <v>68</v>
      </c>
      <c r="C8" s="7" t="s">
        <v>21</v>
      </c>
      <c r="D8" s="7" t="s">
        <v>75</v>
      </c>
      <c r="E8" s="9">
        <v>2902807</v>
      </c>
      <c r="F8" s="9">
        <v>2822884</v>
      </c>
      <c r="G8" s="11">
        <f t="shared" si="0"/>
        <v>-2.7533005122283363E-2</v>
      </c>
      <c r="H8" s="11">
        <f t="shared" si="1"/>
        <v>4.8598474644154337E-2</v>
      </c>
    </row>
    <row r="9" spans="1:8" ht="15" customHeight="1" x14ac:dyDescent="0.3">
      <c r="A9" s="10" t="s">
        <v>8</v>
      </c>
      <c r="B9" s="7" t="s">
        <v>72</v>
      </c>
      <c r="C9" s="7" t="s">
        <v>97</v>
      </c>
      <c r="D9" s="7" t="s">
        <v>90</v>
      </c>
      <c r="E9" s="9">
        <v>1490987</v>
      </c>
      <c r="F9" s="9">
        <v>1655758</v>
      </c>
      <c r="G9" s="11">
        <f t="shared" si="0"/>
        <v>0.1105113592539707</v>
      </c>
      <c r="H9" s="11">
        <f t="shared" si="1"/>
        <v>2.8505355933809429E-2</v>
      </c>
    </row>
    <row r="10" spans="1:8" ht="15" customHeight="1" x14ac:dyDescent="0.3">
      <c r="A10" s="10" t="s">
        <v>8</v>
      </c>
      <c r="B10" s="7" t="s">
        <v>72</v>
      </c>
      <c r="C10" s="7" t="s">
        <v>97</v>
      </c>
      <c r="D10" s="7" t="s">
        <v>94</v>
      </c>
      <c r="E10" s="9">
        <v>2413650</v>
      </c>
      <c r="F10" s="9">
        <v>2431949</v>
      </c>
      <c r="G10" s="11">
        <f t="shared" si="0"/>
        <v>7.5814637582085221E-3</v>
      </c>
      <c r="H10" s="11">
        <f t="shared" si="1"/>
        <v>4.1868178718068645E-2</v>
      </c>
    </row>
    <row r="11" spans="1:8" ht="15" customHeight="1" x14ac:dyDescent="0.3">
      <c r="A11" s="10" t="s">
        <v>8</v>
      </c>
      <c r="B11" s="7" t="s">
        <v>98</v>
      </c>
      <c r="C11" s="7" t="s">
        <v>97</v>
      </c>
      <c r="D11" s="7" t="s">
        <v>60</v>
      </c>
      <c r="E11" s="9">
        <v>2729062</v>
      </c>
      <c r="F11" s="9">
        <v>2627543</v>
      </c>
      <c r="G11" s="11">
        <f t="shared" si="0"/>
        <v>-3.7199228159712015E-2</v>
      </c>
      <c r="H11" s="11">
        <f t="shared" si="1"/>
        <v>4.5235504491833604E-2</v>
      </c>
    </row>
    <row r="12" spans="1:8" ht="15" customHeight="1" x14ac:dyDescent="0.3">
      <c r="A12" s="10" t="s">
        <v>8</v>
      </c>
      <c r="B12" s="7" t="s">
        <v>72</v>
      </c>
      <c r="C12" s="7" t="s">
        <v>28</v>
      </c>
      <c r="D12" s="7" t="s">
        <v>71</v>
      </c>
      <c r="E12" s="9">
        <v>903493</v>
      </c>
      <c r="F12" s="9">
        <v>918922</v>
      </c>
      <c r="G12" s="11">
        <f t="shared" si="0"/>
        <v>1.7077055383937674E-2</v>
      </c>
      <c r="H12" s="11">
        <f t="shared" si="1"/>
        <v>1.582006469871082E-2</v>
      </c>
    </row>
    <row r="13" spans="1:8" ht="15" customHeight="1" x14ac:dyDescent="0.3">
      <c r="A13" s="10" t="s">
        <v>8</v>
      </c>
      <c r="B13" s="7" t="s">
        <v>68</v>
      </c>
      <c r="C13" s="7" t="s">
        <v>24</v>
      </c>
      <c r="D13" s="7" t="s">
        <v>94</v>
      </c>
      <c r="E13" s="9">
        <v>1804054</v>
      </c>
      <c r="F13" s="9">
        <v>1943565</v>
      </c>
      <c r="G13" s="11">
        <f t="shared" si="0"/>
        <v>7.7331942391968306E-2</v>
      </c>
      <c r="H13" s="11">
        <f t="shared" si="1"/>
        <v>3.3460211036573172E-2</v>
      </c>
    </row>
    <row r="14" spans="1:8" ht="15" customHeight="1" x14ac:dyDescent="0.3">
      <c r="A14" s="10" t="s">
        <v>8</v>
      </c>
      <c r="B14" s="7" t="s">
        <v>72</v>
      </c>
      <c r="C14" s="7" t="s">
        <v>24</v>
      </c>
      <c r="D14" s="7" t="s">
        <v>60</v>
      </c>
      <c r="E14" s="9">
        <v>2989414</v>
      </c>
      <c r="F14" s="9">
        <v>3257896</v>
      </c>
      <c r="G14" s="11">
        <f t="shared" si="0"/>
        <v>8.9810912774209259E-2</v>
      </c>
      <c r="H14" s="11">
        <f t="shared" si="1"/>
        <v>5.6087595575762886E-2</v>
      </c>
    </row>
    <row r="15" spans="1:8" ht="15" customHeight="1" x14ac:dyDescent="0.3">
      <c r="A15" s="10" t="s">
        <v>9</v>
      </c>
      <c r="B15" s="7" t="s">
        <v>216</v>
      </c>
      <c r="C15" s="7" t="s">
        <v>131</v>
      </c>
      <c r="D15" s="7" t="s">
        <v>60</v>
      </c>
      <c r="E15" s="9">
        <v>1464796</v>
      </c>
      <c r="F15" s="9">
        <v>1611744</v>
      </c>
      <c r="G15" s="11">
        <f t="shared" si="0"/>
        <v>0.10031977149036453</v>
      </c>
      <c r="H15" s="11">
        <f t="shared" si="1"/>
        <v>2.7747615529673867E-2</v>
      </c>
    </row>
    <row r="16" spans="1:8" ht="15" customHeight="1" x14ac:dyDescent="0.3">
      <c r="A16" s="10" t="s">
        <v>9</v>
      </c>
      <c r="B16" s="7" t="s">
        <v>76</v>
      </c>
      <c r="C16" s="7" t="s">
        <v>131</v>
      </c>
      <c r="D16" s="7" t="s">
        <v>75</v>
      </c>
      <c r="E16" s="9">
        <v>4406267</v>
      </c>
      <c r="F16" s="9">
        <v>4351772</v>
      </c>
      <c r="G16" s="11">
        <f t="shared" si="0"/>
        <v>-1.2367611858291837E-2</v>
      </c>
      <c r="H16" s="11">
        <f t="shared" si="1"/>
        <v>7.4919649974685754E-2</v>
      </c>
    </row>
    <row r="17" spans="1:8" ht="15" customHeight="1" x14ac:dyDescent="0.3">
      <c r="A17" s="10" t="s">
        <v>9</v>
      </c>
      <c r="B17" s="7" t="s">
        <v>76</v>
      </c>
      <c r="C17" s="7" t="s">
        <v>157</v>
      </c>
      <c r="D17" s="7" t="s">
        <v>71</v>
      </c>
      <c r="E17" s="9">
        <v>1269390</v>
      </c>
      <c r="F17" s="9">
        <v>1231098</v>
      </c>
      <c r="G17" s="11">
        <f t="shared" si="0"/>
        <v>-3.016567012502068E-2</v>
      </c>
      <c r="H17" s="11">
        <f t="shared" si="1"/>
        <v>2.1194453947618503E-2</v>
      </c>
    </row>
    <row r="18" spans="1:8" ht="15" customHeight="1" x14ac:dyDescent="0.3">
      <c r="A18" s="10" t="s">
        <v>9</v>
      </c>
      <c r="B18" s="7" t="s">
        <v>76</v>
      </c>
      <c r="C18" s="7" t="s">
        <v>26</v>
      </c>
      <c r="D18" s="7" t="s">
        <v>60</v>
      </c>
      <c r="E18" s="9">
        <v>3299802</v>
      </c>
      <c r="F18" s="9">
        <v>3199951</v>
      </c>
      <c r="G18" s="11">
        <f t="shared" si="0"/>
        <v>-3.0259694369540961E-2</v>
      </c>
      <c r="H18" s="11">
        <f t="shared" si="1"/>
        <v>5.5090020537874144E-2</v>
      </c>
    </row>
    <row r="19" spans="1:8" ht="15" customHeight="1" x14ac:dyDescent="0.3">
      <c r="A19" s="10" t="s">
        <v>9</v>
      </c>
      <c r="B19" s="7" t="s">
        <v>86</v>
      </c>
      <c r="C19" s="7" t="s">
        <v>22</v>
      </c>
      <c r="D19" s="7" t="s">
        <v>94</v>
      </c>
      <c r="E19" s="9">
        <v>1549469</v>
      </c>
      <c r="F19" s="9">
        <v>1569723</v>
      </c>
      <c r="G19" s="11">
        <f t="shared" si="0"/>
        <v>1.3071574842736447E-2</v>
      </c>
      <c r="H19" s="11">
        <f t="shared" si="1"/>
        <v>2.7024186404346007E-2</v>
      </c>
    </row>
    <row r="20" spans="1:8" ht="15" customHeight="1" x14ac:dyDescent="0.3">
      <c r="A20" s="10" t="s">
        <v>9</v>
      </c>
      <c r="B20" s="7" t="s">
        <v>86</v>
      </c>
      <c r="C20" s="7" t="s">
        <v>19</v>
      </c>
      <c r="D20" s="7" t="s">
        <v>94</v>
      </c>
      <c r="E20" s="9">
        <v>2225471</v>
      </c>
      <c r="F20" s="9">
        <v>2361974</v>
      </c>
      <c r="G20" s="11">
        <f t="shared" si="0"/>
        <v>6.1336678842366404E-2</v>
      </c>
      <c r="H20" s="11">
        <f t="shared" si="1"/>
        <v>4.0663496462891066E-2</v>
      </c>
    </row>
    <row r="21" spans="1:8" ht="15" customHeight="1" x14ac:dyDescent="0.3">
      <c r="A21" s="10" t="s">
        <v>9</v>
      </c>
      <c r="B21" s="7" t="s">
        <v>216</v>
      </c>
      <c r="C21" s="7" t="s">
        <v>19</v>
      </c>
      <c r="D21" s="7" t="s">
        <v>71</v>
      </c>
      <c r="E21" s="9">
        <v>1238919</v>
      </c>
      <c r="F21" s="9">
        <v>1374752</v>
      </c>
      <c r="G21" s="11">
        <f t="shared" si="0"/>
        <v>0.10963832179504875</v>
      </c>
      <c r="H21" s="11">
        <f t="shared" si="1"/>
        <v>2.3667586133188773E-2</v>
      </c>
    </row>
    <row r="22" spans="1:8" ht="15" customHeight="1" x14ac:dyDescent="0.3">
      <c r="A22" s="10" t="s">
        <v>9</v>
      </c>
      <c r="B22" s="7" t="s">
        <v>76</v>
      </c>
      <c r="C22" s="7" t="s">
        <v>19</v>
      </c>
      <c r="D22" s="7" t="s">
        <v>90</v>
      </c>
      <c r="E22" s="9">
        <v>591733</v>
      </c>
      <c r="F22" s="9">
        <v>599419</v>
      </c>
      <c r="G22" s="11">
        <f t="shared" si="0"/>
        <v>1.2988966307439336E-2</v>
      </c>
      <c r="H22" s="11">
        <f t="shared" si="1"/>
        <v>1.0319534586870856E-2</v>
      </c>
    </row>
    <row r="23" spans="1:8" ht="15" customHeight="1" x14ac:dyDescent="0.3">
      <c r="A23" s="10" t="s">
        <v>10</v>
      </c>
      <c r="B23" s="7" t="s">
        <v>174</v>
      </c>
      <c r="C23" s="7" t="s">
        <v>25</v>
      </c>
      <c r="D23" s="7" t="s">
        <v>71</v>
      </c>
      <c r="E23" s="9">
        <v>356728</v>
      </c>
      <c r="F23" s="9">
        <v>380473</v>
      </c>
      <c r="G23" s="11">
        <f t="shared" si="0"/>
        <v>6.6563319952456776E-2</v>
      </c>
      <c r="H23" s="11">
        <f t="shared" si="1"/>
        <v>6.550183232214052E-3</v>
      </c>
    </row>
    <row r="24" spans="1:8" ht="15" customHeight="1" x14ac:dyDescent="0.3">
      <c r="A24" s="10" t="s">
        <v>10</v>
      </c>
      <c r="B24" s="7" t="s">
        <v>174</v>
      </c>
      <c r="C24" s="7" t="s">
        <v>25</v>
      </c>
      <c r="D24" s="7" t="s">
        <v>75</v>
      </c>
      <c r="E24" s="9">
        <v>992923</v>
      </c>
      <c r="F24" s="9">
        <v>989844</v>
      </c>
      <c r="G24" s="11">
        <f t="shared" si="0"/>
        <v>-3.100945390528772E-3</v>
      </c>
      <c r="H24" s="11">
        <f t="shared" si="1"/>
        <v>1.7041050406487943E-2</v>
      </c>
    </row>
    <row r="25" spans="1:8" ht="15" customHeight="1" x14ac:dyDescent="0.3">
      <c r="A25" s="10" t="s">
        <v>10</v>
      </c>
      <c r="B25" s="7" t="s">
        <v>168</v>
      </c>
      <c r="C25" s="7" t="s">
        <v>27</v>
      </c>
      <c r="D25" s="7" t="s">
        <v>71</v>
      </c>
      <c r="E25" s="9">
        <v>593362</v>
      </c>
      <c r="F25" s="9">
        <v>628423</v>
      </c>
      <c r="G25" s="11">
        <f t="shared" si="0"/>
        <v>5.9088718185525871E-2</v>
      </c>
      <c r="H25" s="11">
        <f t="shared" si="1"/>
        <v>1.0818864406508876E-2</v>
      </c>
    </row>
    <row r="26" spans="1:8" ht="15" customHeight="1" x14ac:dyDescent="0.3">
      <c r="A26" s="10" t="s">
        <v>10</v>
      </c>
      <c r="B26" s="7" t="s">
        <v>61</v>
      </c>
      <c r="C26" s="7" t="s">
        <v>59</v>
      </c>
      <c r="D26" s="7" t="s">
        <v>60</v>
      </c>
      <c r="E26" s="9">
        <v>1521468</v>
      </c>
      <c r="F26" s="9">
        <v>1648946</v>
      </c>
      <c r="G26" s="11">
        <f t="shared" si="0"/>
        <v>8.3786185447212821E-2</v>
      </c>
      <c r="H26" s="11">
        <f t="shared" si="1"/>
        <v>2.8388081256820939E-2</v>
      </c>
    </row>
    <row r="27" spans="1:8" ht="15" customHeight="1" x14ac:dyDescent="0.3">
      <c r="A27" s="10" t="s">
        <v>10</v>
      </c>
      <c r="B27" s="7" t="s">
        <v>61</v>
      </c>
      <c r="C27" s="7" t="s">
        <v>59</v>
      </c>
      <c r="D27" s="7" t="s">
        <v>94</v>
      </c>
      <c r="E27" s="9">
        <v>515724</v>
      </c>
      <c r="F27" s="9">
        <v>557021</v>
      </c>
      <c r="G27" s="11">
        <f t="shared" si="0"/>
        <v>8.0075776965974052E-2</v>
      </c>
      <c r="H27" s="11">
        <f t="shared" si="1"/>
        <v>9.5896150691142431E-3</v>
      </c>
    </row>
    <row r="28" spans="1:8" ht="15" customHeight="1" x14ac:dyDescent="0.3">
      <c r="A28" s="10" t="s">
        <v>10</v>
      </c>
      <c r="B28" s="7" t="s">
        <v>61</v>
      </c>
      <c r="C28" s="7" t="s">
        <v>59</v>
      </c>
      <c r="D28" s="7" t="s">
        <v>75</v>
      </c>
      <c r="E28" s="9">
        <v>1637069</v>
      </c>
      <c r="F28" s="9">
        <v>1781489</v>
      </c>
      <c r="G28" s="11">
        <f t="shared" si="0"/>
        <v>8.8218639531992854E-2</v>
      </c>
      <c r="H28" s="11">
        <f t="shared" si="1"/>
        <v>3.0669927632640898E-2</v>
      </c>
    </row>
    <row r="29" spans="1:8" ht="15" customHeight="1" x14ac:dyDescent="0.3">
      <c r="A29" s="10" t="s">
        <v>10</v>
      </c>
      <c r="B29" s="7" t="s">
        <v>61</v>
      </c>
      <c r="C29" s="7" t="s">
        <v>101</v>
      </c>
      <c r="D29" s="7" t="s">
        <v>90</v>
      </c>
      <c r="E29" s="9">
        <v>538525</v>
      </c>
      <c r="F29" s="9">
        <v>566160</v>
      </c>
      <c r="G29" s="11">
        <f t="shared" si="0"/>
        <v>5.1316094888816673E-2</v>
      </c>
      <c r="H29" s="11">
        <f t="shared" si="1"/>
        <v>9.7469511338526202E-3</v>
      </c>
    </row>
    <row r="30" spans="1:8" ht="15" customHeight="1" x14ac:dyDescent="0.3">
      <c r="A30" s="10" t="s">
        <v>11</v>
      </c>
      <c r="B30" s="7" t="s">
        <v>83</v>
      </c>
      <c r="C30" s="7" t="s">
        <v>331</v>
      </c>
      <c r="D30" s="7" t="s">
        <v>75</v>
      </c>
      <c r="E30" s="9">
        <v>1517543</v>
      </c>
      <c r="F30" s="9">
        <v>1470024</v>
      </c>
      <c r="G30" s="11">
        <f t="shared" si="0"/>
        <v>-3.1313116003961666E-2</v>
      </c>
      <c r="H30" s="11">
        <f t="shared" si="1"/>
        <v>2.5307778885104146E-2</v>
      </c>
    </row>
    <row r="31" spans="1:8" ht="15" customHeight="1" x14ac:dyDescent="0.3">
      <c r="A31" s="10" t="s">
        <v>11</v>
      </c>
      <c r="B31" s="7" t="s">
        <v>377</v>
      </c>
      <c r="C31" s="7" t="s">
        <v>331</v>
      </c>
      <c r="D31" s="7" t="s">
        <v>94</v>
      </c>
      <c r="E31" s="9">
        <v>444428</v>
      </c>
      <c r="F31" s="9">
        <v>449272</v>
      </c>
      <c r="G31" s="11">
        <f t="shared" si="0"/>
        <v>1.0899403277921283E-2</v>
      </c>
      <c r="H31" s="11">
        <f t="shared" si="1"/>
        <v>7.7346195948287304E-3</v>
      </c>
    </row>
    <row r="32" spans="1:8" ht="15" customHeight="1" x14ac:dyDescent="0.3">
      <c r="A32" s="10" t="s">
        <v>11</v>
      </c>
      <c r="B32" s="7" t="s">
        <v>83</v>
      </c>
      <c r="C32" s="7" t="s">
        <v>23</v>
      </c>
      <c r="D32" s="7" t="s">
        <v>94</v>
      </c>
      <c r="E32" s="9">
        <v>385953</v>
      </c>
      <c r="F32" s="9">
        <v>384066</v>
      </c>
      <c r="G32" s="11">
        <f t="shared" si="0"/>
        <v>-4.8891963529238015E-3</v>
      </c>
      <c r="H32" s="11">
        <f t="shared" si="1"/>
        <v>6.6120399430801193E-3</v>
      </c>
    </row>
    <row r="33" spans="1:8" ht="15" customHeight="1" x14ac:dyDescent="0.3">
      <c r="A33" s="10" t="s">
        <v>11</v>
      </c>
      <c r="B33" s="7" t="s">
        <v>377</v>
      </c>
      <c r="C33" s="7" t="s">
        <v>378</v>
      </c>
      <c r="D33" s="7" t="s">
        <v>71</v>
      </c>
      <c r="E33" s="9">
        <v>502543</v>
      </c>
      <c r="F33" s="9">
        <v>518102</v>
      </c>
      <c r="G33" s="11">
        <f t="shared" si="0"/>
        <v>3.0960534720411985E-2</v>
      </c>
      <c r="H33" s="11">
        <f t="shared" si="1"/>
        <v>8.9195896501895397E-3</v>
      </c>
    </row>
    <row r="34" spans="1:8" ht="15" customHeight="1" x14ac:dyDescent="0.3">
      <c r="A34" s="10" t="s">
        <v>11</v>
      </c>
      <c r="B34" s="7" t="s">
        <v>332</v>
      </c>
      <c r="C34" s="7" t="s">
        <v>125</v>
      </c>
      <c r="D34" s="7" t="s">
        <v>94</v>
      </c>
      <c r="E34" s="9">
        <v>631934</v>
      </c>
      <c r="F34" s="9">
        <v>701902</v>
      </c>
      <c r="G34" s="11">
        <f t="shared" si="0"/>
        <v>0.11072042333534832</v>
      </c>
      <c r="H34" s="11">
        <f t="shared" si="1"/>
        <v>1.2083871157894274E-2</v>
      </c>
    </row>
    <row r="35" spans="1:8" ht="15" customHeight="1" x14ac:dyDescent="0.3">
      <c r="A35" s="10" t="s">
        <v>11</v>
      </c>
      <c r="B35" s="7" t="s">
        <v>377</v>
      </c>
      <c r="C35" s="7" t="s">
        <v>125</v>
      </c>
      <c r="D35" s="7" t="s">
        <v>60</v>
      </c>
      <c r="E35" s="9">
        <v>1034070</v>
      </c>
      <c r="F35" s="9">
        <v>1142117</v>
      </c>
      <c r="G35" s="11">
        <f t="shared" si="0"/>
        <v>0.10448712369568791</v>
      </c>
      <c r="H35" s="11">
        <f t="shared" si="1"/>
        <v>1.9662566391377617E-2</v>
      </c>
    </row>
    <row r="36" spans="1:8" ht="15" customHeight="1" x14ac:dyDescent="0.3">
      <c r="A36" s="10" t="s">
        <v>12</v>
      </c>
      <c r="B36" s="7" t="s">
        <v>219</v>
      </c>
      <c r="C36" s="7" t="s">
        <v>255</v>
      </c>
      <c r="D36" s="7" t="s">
        <v>94</v>
      </c>
      <c r="E36" s="9">
        <v>971852</v>
      </c>
      <c r="F36" s="9">
        <v>933308</v>
      </c>
      <c r="G36" s="11">
        <f t="shared" si="0"/>
        <v>-3.9660359807871984E-2</v>
      </c>
      <c r="H36" s="11">
        <f t="shared" si="1"/>
        <v>1.6067732564705596E-2</v>
      </c>
    </row>
    <row r="37" spans="1:8" ht="15" customHeight="1" x14ac:dyDescent="0.3">
      <c r="A37" s="10" t="s">
        <v>12</v>
      </c>
      <c r="B37" s="7" t="s">
        <v>152</v>
      </c>
      <c r="C37" s="7" t="s">
        <v>255</v>
      </c>
      <c r="D37" s="7" t="s">
        <v>90</v>
      </c>
      <c r="E37" s="9">
        <v>503149</v>
      </c>
      <c r="F37" s="9">
        <v>514453</v>
      </c>
      <c r="G37" s="11">
        <f t="shared" si="0"/>
        <v>2.2466505945554896E-2</v>
      </c>
      <c r="H37" s="11">
        <f t="shared" si="1"/>
        <v>8.8567688492014306E-3</v>
      </c>
    </row>
    <row r="38" spans="1:8" ht="15" customHeight="1" x14ac:dyDescent="0.3">
      <c r="A38" s="10" t="s">
        <v>12</v>
      </c>
      <c r="B38" s="7" t="s">
        <v>139</v>
      </c>
      <c r="C38" s="7" t="s">
        <v>255</v>
      </c>
      <c r="D38" s="7" t="s">
        <v>75</v>
      </c>
      <c r="E38" s="9">
        <v>1367396</v>
      </c>
      <c r="F38" s="9">
        <v>1510492</v>
      </c>
      <c r="G38" s="11">
        <f t="shared" si="0"/>
        <v>0.1046485436552396</v>
      </c>
      <c r="H38" s="11">
        <f t="shared" si="1"/>
        <v>2.6004471725440355E-2</v>
      </c>
    </row>
    <row r="39" spans="1:8" ht="15" customHeight="1" x14ac:dyDescent="0.3">
      <c r="A39" s="12" t="s">
        <v>379</v>
      </c>
      <c r="B39" s="12"/>
      <c r="C39" s="12"/>
      <c r="D39" s="12"/>
      <c r="E39" s="13">
        <f>SUM(E4:E38)</f>
        <v>55959559</v>
      </c>
      <c r="F39" s="13">
        <f>SUM(F4:F38)</f>
        <v>58085856</v>
      </c>
      <c r="G39" s="14">
        <f t="shared" si="0"/>
        <v>3.7997029247496393E-2</v>
      </c>
      <c r="H39" s="14">
        <f>SUM(H4:H38)</f>
        <v>1</v>
      </c>
    </row>
    <row r="42" spans="1:8" ht="15" customHeight="1" x14ac:dyDescent="0.3">
      <c r="A42" s="50" t="s">
        <v>380</v>
      </c>
      <c r="B42" s="50"/>
      <c r="C42" s="50"/>
      <c r="D42" s="50"/>
      <c r="E42" s="50"/>
      <c r="F42" s="50"/>
    </row>
    <row r="43" spans="1:8" ht="15" customHeight="1" x14ac:dyDescent="0.3">
      <c r="A43" s="6" t="s">
        <v>6</v>
      </c>
      <c r="B43" s="6" t="s">
        <v>60</v>
      </c>
      <c r="C43" s="6" t="s">
        <v>75</v>
      </c>
      <c r="D43" s="6" t="s">
        <v>90</v>
      </c>
      <c r="E43" s="6" t="s">
        <v>71</v>
      </c>
      <c r="F43" s="6" t="s">
        <v>94</v>
      </c>
      <c r="G43" s="6" t="s">
        <v>381</v>
      </c>
    </row>
    <row r="44" spans="1:8" ht="15" customHeight="1" x14ac:dyDescent="0.3">
      <c r="A44" s="15" t="s">
        <v>8</v>
      </c>
      <c r="B44" s="9">
        <f t="shared" ref="B44:B52" si="2">SUMIFS(F$4:F$38,A$4:A$38,A44,D$4:D$38,B$43)</f>
        <v>9085566</v>
      </c>
      <c r="C44" s="9">
        <f t="shared" ref="C44:C52" si="3">SUMIFS(F$4:F$38,A$4:A$38,A44,D$4:D$38,C$43)</f>
        <v>7625228</v>
      </c>
      <c r="D44" s="9">
        <f t="shared" ref="D44:D52" si="4">SUMIFS(F$4:F$38,A$4:A$38,A44,D$4:D$38,D$43)</f>
        <v>3151025</v>
      </c>
      <c r="E44" s="9">
        <f t="shared" ref="E44:E52" si="5">SUMIFS(F$4:F$38,A$4:A$38,A44,D$4:D$38,E$43)</f>
        <v>918922</v>
      </c>
      <c r="F44" s="9">
        <f t="shared" ref="F44:F52" si="6">SUMIFS(F$4:F$38,A$4:A$38,A44,D$4:D$38,F$43)</f>
        <v>6828590</v>
      </c>
      <c r="G44" s="16">
        <f t="shared" ref="G44:G52" si="7">SUM(B44:F44)</f>
        <v>27609331</v>
      </c>
    </row>
    <row r="45" spans="1:8" ht="15" customHeight="1" x14ac:dyDescent="0.3">
      <c r="A45" s="15" t="s">
        <v>9</v>
      </c>
      <c r="B45" s="9">
        <f t="shared" si="2"/>
        <v>4811695</v>
      </c>
      <c r="C45" s="9">
        <f t="shared" si="3"/>
        <v>4351772</v>
      </c>
      <c r="D45" s="9">
        <f t="shared" si="4"/>
        <v>599419</v>
      </c>
      <c r="E45" s="9">
        <f t="shared" si="5"/>
        <v>2605850</v>
      </c>
      <c r="F45" s="9">
        <f t="shared" si="6"/>
        <v>3931697</v>
      </c>
      <c r="G45" s="16">
        <f t="shared" si="7"/>
        <v>16300433</v>
      </c>
    </row>
    <row r="46" spans="1:8" ht="15" customHeight="1" x14ac:dyDescent="0.3">
      <c r="A46" s="15" t="s">
        <v>10</v>
      </c>
      <c r="B46" s="9">
        <f t="shared" si="2"/>
        <v>1648946</v>
      </c>
      <c r="C46" s="9">
        <f t="shared" si="3"/>
        <v>2771333</v>
      </c>
      <c r="D46" s="9">
        <f t="shared" si="4"/>
        <v>566160</v>
      </c>
      <c r="E46" s="9">
        <f t="shared" si="5"/>
        <v>1008896</v>
      </c>
      <c r="F46" s="9">
        <f t="shared" si="6"/>
        <v>557021</v>
      </c>
      <c r="G46" s="16">
        <f t="shared" si="7"/>
        <v>6552356</v>
      </c>
    </row>
    <row r="47" spans="1:8" ht="15" customHeight="1" x14ac:dyDescent="0.3">
      <c r="A47" s="15" t="s">
        <v>11</v>
      </c>
      <c r="B47" s="9">
        <f t="shared" si="2"/>
        <v>1142117</v>
      </c>
      <c r="C47" s="9">
        <f t="shared" si="3"/>
        <v>1470024</v>
      </c>
      <c r="D47" s="9">
        <f t="shared" si="4"/>
        <v>0</v>
      </c>
      <c r="E47" s="9">
        <f t="shared" si="5"/>
        <v>518102</v>
      </c>
      <c r="F47" s="9">
        <f t="shared" si="6"/>
        <v>1535240</v>
      </c>
      <c r="G47" s="16">
        <f t="shared" si="7"/>
        <v>4665483</v>
      </c>
    </row>
    <row r="48" spans="1:8" ht="15" customHeight="1" x14ac:dyDescent="0.3">
      <c r="A48" s="15" t="s">
        <v>12</v>
      </c>
      <c r="B48" s="9">
        <f t="shared" si="2"/>
        <v>0</v>
      </c>
      <c r="C48" s="9">
        <f t="shared" si="3"/>
        <v>1510492</v>
      </c>
      <c r="D48" s="9">
        <f t="shared" si="4"/>
        <v>514453</v>
      </c>
      <c r="E48" s="9">
        <f t="shared" si="5"/>
        <v>0</v>
      </c>
      <c r="F48" s="9">
        <f t="shared" si="6"/>
        <v>933308</v>
      </c>
      <c r="G48" s="16">
        <f t="shared" si="7"/>
        <v>2958253</v>
      </c>
    </row>
    <row r="49" spans="1:7" ht="15" customHeight="1" x14ac:dyDescent="0.3">
      <c r="A49" s="15" t="s">
        <v>13</v>
      </c>
      <c r="B49" s="9">
        <f t="shared" si="2"/>
        <v>0</v>
      </c>
      <c r="C49" s="9">
        <f t="shared" si="3"/>
        <v>0</v>
      </c>
      <c r="D49" s="9">
        <f t="shared" si="4"/>
        <v>0</v>
      </c>
      <c r="E49" s="9">
        <f t="shared" si="5"/>
        <v>0</v>
      </c>
      <c r="F49" s="9">
        <f t="shared" si="6"/>
        <v>0</v>
      </c>
      <c r="G49" s="16">
        <f t="shared" si="7"/>
        <v>0</v>
      </c>
    </row>
    <row r="50" spans="1:7" ht="15" customHeight="1" x14ac:dyDescent="0.3">
      <c r="A50" s="15" t="s">
        <v>14</v>
      </c>
      <c r="B50" s="9">
        <f t="shared" si="2"/>
        <v>0</v>
      </c>
      <c r="C50" s="9">
        <f t="shared" si="3"/>
        <v>0</v>
      </c>
      <c r="D50" s="9">
        <f t="shared" si="4"/>
        <v>0</v>
      </c>
      <c r="E50" s="9">
        <f t="shared" si="5"/>
        <v>0</v>
      </c>
      <c r="F50" s="9">
        <f t="shared" si="6"/>
        <v>0</v>
      </c>
      <c r="G50" s="16">
        <f t="shared" si="7"/>
        <v>0</v>
      </c>
    </row>
    <row r="51" spans="1:7" ht="15" customHeight="1" x14ac:dyDescent="0.3">
      <c r="A51" s="15" t="s">
        <v>15</v>
      </c>
      <c r="B51" s="9">
        <f t="shared" si="2"/>
        <v>0</v>
      </c>
      <c r="C51" s="9">
        <f t="shared" si="3"/>
        <v>0</v>
      </c>
      <c r="D51" s="9">
        <f t="shared" si="4"/>
        <v>0</v>
      </c>
      <c r="E51" s="9">
        <f t="shared" si="5"/>
        <v>0</v>
      </c>
      <c r="F51" s="9">
        <f t="shared" si="6"/>
        <v>0</v>
      </c>
      <c r="G51" s="16">
        <f t="shared" si="7"/>
        <v>0</v>
      </c>
    </row>
    <row r="52" spans="1:7" ht="15" customHeight="1" x14ac:dyDescent="0.3">
      <c r="A52" s="15" t="s">
        <v>16</v>
      </c>
      <c r="B52" s="9">
        <f t="shared" si="2"/>
        <v>0</v>
      </c>
      <c r="C52" s="9">
        <f t="shared" si="3"/>
        <v>0</v>
      </c>
      <c r="D52" s="9">
        <f t="shared" si="4"/>
        <v>0</v>
      </c>
      <c r="E52" s="9">
        <f t="shared" si="5"/>
        <v>0</v>
      </c>
      <c r="F52" s="9">
        <f t="shared" si="6"/>
        <v>0</v>
      </c>
      <c r="G52" s="16">
        <f t="shared" si="7"/>
        <v>0</v>
      </c>
    </row>
  </sheetData>
  <mergeCells count="2">
    <mergeCell ref="A1:H1"/>
    <mergeCell ref="A42:F42"/>
  </mergeCells>
  <conditionalFormatting sqref="E4:F38">
    <cfRule type="colorScale" priority="2">
      <colorScale>
        <cfvo type="min"/>
        <cfvo type="max"/>
        <color rgb="FFD5F5E3"/>
        <color rgb="FF1A527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5276"/>
  </sheetPr>
  <dimension ref="A1:I37"/>
  <sheetViews>
    <sheetView topLeftCell="C1" zoomScaleNormal="100" workbookViewId="0">
      <pane ySplit="3" topLeftCell="A4" activePane="bottomLeft" state="frozen"/>
      <selection pane="bottomLeft" sqref="A1:I1"/>
    </sheetView>
  </sheetViews>
  <sheetFormatPr defaultColWidth="8.6640625" defaultRowHeight="14.4" x14ac:dyDescent="0.3"/>
  <cols>
    <col min="1" max="1" width="26" customWidth="1"/>
    <col min="2" max="2" width="22" customWidth="1"/>
    <col min="3" max="3" width="18" customWidth="1"/>
    <col min="4" max="5" width="20" customWidth="1"/>
    <col min="6" max="7" width="18" customWidth="1"/>
    <col min="8" max="8" width="16" customWidth="1"/>
    <col min="9" max="9" width="18" customWidth="1"/>
  </cols>
  <sheetData>
    <row r="1" spans="1:9" ht="19.5" customHeight="1" x14ac:dyDescent="0.4">
      <c r="A1" s="49" t="s">
        <v>382</v>
      </c>
      <c r="B1" s="49"/>
      <c r="C1" s="49"/>
      <c r="D1" s="49"/>
      <c r="E1" s="49"/>
      <c r="F1" s="49"/>
      <c r="G1" s="49"/>
      <c r="H1" s="49"/>
      <c r="I1" s="49"/>
    </row>
    <row r="2" spans="1:9" ht="15" customHeight="1" x14ac:dyDescent="0.3">
      <c r="A2" s="51" t="s">
        <v>383</v>
      </c>
      <c r="B2" s="51"/>
      <c r="C2" s="51"/>
      <c r="D2" s="51"/>
      <c r="E2" s="51"/>
      <c r="F2" s="51"/>
      <c r="G2" s="51"/>
      <c r="H2" s="51"/>
      <c r="I2" s="51"/>
    </row>
    <row r="3" spans="1:9" ht="39" customHeight="1" x14ac:dyDescent="0.3">
      <c r="A3" s="6" t="s">
        <v>384</v>
      </c>
      <c r="B3" s="6" t="s">
        <v>6</v>
      </c>
      <c r="C3" s="6" t="s">
        <v>385</v>
      </c>
      <c r="D3" s="6" t="s">
        <v>386</v>
      </c>
      <c r="E3" s="6" t="s">
        <v>387</v>
      </c>
      <c r="F3" s="6" t="s">
        <v>56</v>
      </c>
      <c r="G3" s="6" t="s">
        <v>388</v>
      </c>
      <c r="H3" s="6" t="s">
        <v>389</v>
      </c>
      <c r="I3" s="6" t="s">
        <v>390</v>
      </c>
    </row>
    <row r="4" spans="1:9" ht="15" customHeight="1" x14ac:dyDescent="0.3">
      <c r="A4" s="10" t="s">
        <v>20</v>
      </c>
      <c r="B4" s="7" t="s">
        <v>8</v>
      </c>
      <c r="C4" s="7">
        <v>2.7</v>
      </c>
      <c r="D4" s="11">
        <v>0.76900000000000002</v>
      </c>
      <c r="E4" s="7">
        <v>4</v>
      </c>
      <c r="F4" s="7">
        <v>15</v>
      </c>
      <c r="G4" s="7">
        <v>2.4</v>
      </c>
      <c r="H4" s="17">
        <f t="shared" ref="H4:H37" si="0">(C4*0.3)+(D4*5*0.25)+(E4*0.25)+(G4*0.2)</f>
        <v>3.2512500000000002</v>
      </c>
      <c r="I4" s="7" t="str">
        <f t="shared" ref="I4:I37" si="1">IF(H4&gt;4,"Excellent",IF(H4&gt;3.5,"Good",IF(H4&gt;3,"Acceptable","Review Required")))</f>
        <v>Acceptable</v>
      </c>
    </row>
    <row r="5" spans="1:9" ht="15" customHeight="1" x14ac:dyDescent="0.3">
      <c r="A5" s="10" t="s">
        <v>21</v>
      </c>
      <c r="B5" s="7" t="s">
        <v>8</v>
      </c>
      <c r="C5" s="7">
        <v>4.0999999999999996</v>
      </c>
      <c r="D5" s="11">
        <v>0.89</v>
      </c>
      <c r="E5" s="7">
        <v>4.3</v>
      </c>
      <c r="F5" s="7">
        <v>60</v>
      </c>
      <c r="G5" s="7">
        <v>5</v>
      </c>
      <c r="H5" s="17">
        <f t="shared" si="0"/>
        <v>4.4174999999999995</v>
      </c>
      <c r="I5" s="7" t="str">
        <f t="shared" si="1"/>
        <v>Excellent</v>
      </c>
    </row>
    <row r="6" spans="1:9" ht="15" customHeight="1" x14ac:dyDescent="0.3">
      <c r="A6" s="10" t="s">
        <v>97</v>
      </c>
      <c r="B6" s="7" t="s">
        <v>8</v>
      </c>
      <c r="C6" s="7">
        <v>3.8</v>
      </c>
      <c r="D6" s="11">
        <v>0.85899999999999999</v>
      </c>
      <c r="E6" s="7">
        <v>4</v>
      </c>
      <c r="F6" s="7">
        <v>15</v>
      </c>
      <c r="G6" s="7">
        <v>4.4000000000000004</v>
      </c>
      <c r="H6" s="17">
        <f t="shared" si="0"/>
        <v>4.09375</v>
      </c>
      <c r="I6" s="7" t="str">
        <f t="shared" si="1"/>
        <v>Excellent</v>
      </c>
    </row>
    <row r="7" spans="1:9" ht="15" customHeight="1" x14ac:dyDescent="0.3">
      <c r="A7" s="10" t="s">
        <v>28</v>
      </c>
      <c r="B7" s="7" t="s">
        <v>8</v>
      </c>
      <c r="C7" s="7">
        <v>2.2000000000000002</v>
      </c>
      <c r="D7" s="11">
        <v>0.77200000000000002</v>
      </c>
      <c r="E7" s="7">
        <v>4.7</v>
      </c>
      <c r="F7" s="7">
        <v>90</v>
      </c>
      <c r="G7" s="7">
        <v>2.5</v>
      </c>
      <c r="H7" s="17">
        <f t="shared" si="0"/>
        <v>3.3</v>
      </c>
      <c r="I7" s="7" t="str">
        <f t="shared" si="1"/>
        <v>Acceptable</v>
      </c>
    </row>
    <row r="8" spans="1:9" ht="15" customHeight="1" x14ac:dyDescent="0.3">
      <c r="A8" s="10" t="s">
        <v>24</v>
      </c>
      <c r="B8" s="7" t="s">
        <v>8</v>
      </c>
      <c r="C8" s="7">
        <v>3</v>
      </c>
      <c r="D8" s="11">
        <v>0.85799999999999998</v>
      </c>
      <c r="E8" s="7">
        <v>3.1</v>
      </c>
      <c r="F8" s="7">
        <v>45</v>
      </c>
      <c r="G8" s="7">
        <v>4.5</v>
      </c>
      <c r="H8" s="17">
        <f t="shared" si="0"/>
        <v>3.6475</v>
      </c>
      <c r="I8" s="7" t="str">
        <f t="shared" si="1"/>
        <v>Good</v>
      </c>
    </row>
    <row r="9" spans="1:9" ht="15" customHeight="1" x14ac:dyDescent="0.3">
      <c r="A9" s="10" t="s">
        <v>131</v>
      </c>
      <c r="B9" s="7" t="s">
        <v>9</v>
      </c>
      <c r="C9" s="7">
        <v>3.5</v>
      </c>
      <c r="D9" s="11">
        <v>0.92500000000000004</v>
      </c>
      <c r="E9" s="7">
        <v>3.3</v>
      </c>
      <c r="F9" s="7">
        <v>45</v>
      </c>
      <c r="G9" s="7">
        <v>4</v>
      </c>
      <c r="H9" s="17">
        <f t="shared" si="0"/>
        <v>3.8312499999999998</v>
      </c>
      <c r="I9" s="7" t="str">
        <f t="shared" si="1"/>
        <v>Good</v>
      </c>
    </row>
    <row r="10" spans="1:9" ht="15" customHeight="1" x14ac:dyDescent="0.3">
      <c r="A10" s="10" t="s">
        <v>157</v>
      </c>
      <c r="B10" s="7" t="s">
        <v>9</v>
      </c>
      <c r="C10" s="7">
        <v>3.4</v>
      </c>
      <c r="D10" s="11">
        <v>0.78700000000000003</v>
      </c>
      <c r="E10" s="7">
        <v>4.8</v>
      </c>
      <c r="F10" s="7">
        <v>15</v>
      </c>
      <c r="G10" s="7">
        <v>2.2999999999999998</v>
      </c>
      <c r="H10" s="17">
        <f t="shared" si="0"/>
        <v>3.6637500000000003</v>
      </c>
      <c r="I10" s="7" t="str">
        <f t="shared" si="1"/>
        <v>Good</v>
      </c>
    </row>
    <row r="11" spans="1:9" ht="15" customHeight="1" x14ac:dyDescent="0.3">
      <c r="A11" s="10" t="s">
        <v>26</v>
      </c>
      <c r="B11" s="7" t="s">
        <v>9</v>
      </c>
      <c r="C11" s="7">
        <v>2.7</v>
      </c>
      <c r="D11" s="11">
        <v>0.85399999999999998</v>
      </c>
      <c r="E11" s="7">
        <v>4.4000000000000004</v>
      </c>
      <c r="F11" s="7">
        <v>45</v>
      </c>
      <c r="G11" s="7">
        <v>4.4000000000000004</v>
      </c>
      <c r="H11" s="17">
        <f t="shared" si="0"/>
        <v>3.8574999999999999</v>
      </c>
      <c r="I11" s="7" t="str">
        <f t="shared" si="1"/>
        <v>Good</v>
      </c>
    </row>
    <row r="12" spans="1:9" ht="15" customHeight="1" x14ac:dyDescent="0.3">
      <c r="A12" s="10" t="s">
        <v>22</v>
      </c>
      <c r="B12" s="7" t="s">
        <v>9</v>
      </c>
      <c r="C12" s="7">
        <v>3.9</v>
      </c>
      <c r="D12" s="11">
        <v>0.89100000000000001</v>
      </c>
      <c r="E12" s="7">
        <v>3.9</v>
      </c>
      <c r="F12" s="7">
        <v>45</v>
      </c>
      <c r="G12" s="7">
        <v>4</v>
      </c>
      <c r="H12" s="17">
        <f t="shared" si="0"/>
        <v>4.0587499999999999</v>
      </c>
      <c r="I12" s="7" t="str">
        <f t="shared" si="1"/>
        <v>Excellent</v>
      </c>
    </row>
    <row r="13" spans="1:9" ht="15" customHeight="1" x14ac:dyDescent="0.3">
      <c r="A13" s="10" t="s">
        <v>19</v>
      </c>
      <c r="B13" s="7" t="s">
        <v>9</v>
      </c>
      <c r="C13" s="7">
        <v>3.5</v>
      </c>
      <c r="D13" s="11">
        <v>0.96</v>
      </c>
      <c r="E13" s="7">
        <v>4.9000000000000004</v>
      </c>
      <c r="F13" s="7">
        <v>60</v>
      </c>
      <c r="G13" s="7">
        <v>4.5999999999999996</v>
      </c>
      <c r="H13" s="17">
        <f t="shared" si="0"/>
        <v>4.3949999999999996</v>
      </c>
      <c r="I13" s="7" t="str">
        <f t="shared" si="1"/>
        <v>Excellent</v>
      </c>
    </row>
    <row r="14" spans="1:9" ht="15" customHeight="1" x14ac:dyDescent="0.3">
      <c r="A14" s="10" t="s">
        <v>25</v>
      </c>
      <c r="B14" s="7" t="s">
        <v>10</v>
      </c>
      <c r="C14" s="7">
        <v>4.3</v>
      </c>
      <c r="D14" s="11">
        <v>0.98199999999999998</v>
      </c>
      <c r="E14" s="7">
        <v>4</v>
      </c>
      <c r="F14" s="7">
        <v>45</v>
      </c>
      <c r="G14" s="7">
        <v>2.2999999999999998</v>
      </c>
      <c r="H14" s="17">
        <f t="shared" si="0"/>
        <v>3.9775</v>
      </c>
      <c r="I14" s="7" t="str">
        <f t="shared" si="1"/>
        <v>Good</v>
      </c>
    </row>
    <row r="15" spans="1:9" ht="15" customHeight="1" x14ac:dyDescent="0.3">
      <c r="A15" s="10" t="s">
        <v>27</v>
      </c>
      <c r="B15" s="7" t="s">
        <v>10</v>
      </c>
      <c r="C15" s="7">
        <v>3.8</v>
      </c>
      <c r="D15" s="11">
        <v>0.78700000000000003</v>
      </c>
      <c r="E15" s="7">
        <v>3.7</v>
      </c>
      <c r="F15" s="7">
        <v>15</v>
      </c>
      <c r="G15" s="7">
        <v>3.1</v>
      </c>
      <c r="H15" s="17">
        <f t="shared" si="0"/>
        <v>3.6687500000000002</v>
      </c>
      <c r="I15" s="7" t="str">
        <f t="shared" si="1"/>
        <v>Good</v>
      </c>
    </row>
    <row r="16" spans="1:9" ht="15" customHeight="1" x14ac:dyDescent="0.3">
      <c r="A16" s="10" t="s">
        <v>59</v>
      </c>
      <c r="B16" s="7" t="s">
        <v>10</v>
      </c>
      <c r="C16" s="7">
        <v>2.7</v>
      </c>
      <c r="D16" s="11">
        <v>0.72099999999999997</v>
      </c>
      <c r="E16" s="7">
        <v>3.2</v>
      </c>
      <c r="F16" s="7">
        <v>30</v>
      </c>
      <c r="G16" s="7">
        <v>2.5</v>
      </c>
      <c r="H16" s="17">
        <f t="shared" si="0"/>
        <v>3.0112500000000004</v>
      </c>
      <c r="I16" s="7" t="str">
        <f t="shared" si="1"/>
        <v>Acceptable</v>
      </c>
    </row>
    <row r="17" spans="1:9" ht="15" customHeight="1" x14ac:dyDescent="0.3">
      <c r="A17" s="10" t="s">
        <v>101</v>
      </c>
      <c r="B17" s="7" t="s">
        <v>10</v>
      </c>
      <c r="C17" s="7">
        <v>4.5999999999999996</v>
      </c>
      <c r="D17" s="11">
        <v>0.98399999999999999</v>
      </c>
      <c r="E17" s="7">
        <v>4.5</v>
      </c>
      <c r="F17" s="7">
        <v>90</v>
      </c>
      <c r="G17" s="7">
        <v>4</v>
      </c>
      <c r="H17" s="17">
        <f t="shared" si="0"/>
        <v>4.5350000000000001</v>
      </c>
      <c r="I17" s="7" t="str">
        <f t="shared" si="1"/>
        <v>Excellent</v>
      </c>
    </row>
    <row r="18" spans="1:9" ht="15" customHeight="1" x14ac:dyDescent="0.3">
      <c r="A18" s="10" t="s">
        <v>331</v>
      </c>
      <c r="B18" s="7" t="s">
        <v>11</v>
      </c>
      <c r="C18" s="7">
        <v>3.9</v>
      </c>
      <c r="D18" s="11">
        <v>0.89600000000000002</v>
      </c>
      <c r="E18" s="7">
        <v>4.0999999999999996</v>
      </c>
      <c r="F18" s="7">
        <v>45</v>
      </c>
      <c r="G18" s="7">
        <v>2.1</v>
      </c>
      <c r="H18" s="17">
        <f t="shared" si="0"/>
        <v>3.7349999999999999</v>
      </c>
      <c r="I18" s="7" t="str">
        <f t="shared" si="1"/>
        <v>Good</v>
      </c>
    </row>
    <row r="19" spans="1:9" ht="15" customHeight="1" x14ac:dyDescent="0.3">
      <c r="A19" s="10" t="s">
        <v>23</v>
      </c>
      <c r="B19" s="7" t="s">
        <v>11</v>
      </c>
      <c r="C19" s="7">
        <v>3.2</v>
      </c>
      <c r="D19" s="11">
        <v>0.93300000000000005</v>
      </c>
      <c r="E19" s="7">
        <v>4.8</v>
      </c>
      <c r="F19" s="7">
        <v>45</v>
      </c>
      <c r="G19" s="7">
        <v>2</v>
      </c>
      <c r="H19" s="17">
        <f t="shared" si="0"/>
        <v>3.7262499999999998</v>
      </c>
      <c r="I19" s="7" t="str">
        <f t="shared" si="1"/>
        <v>Good</v>
      </c>
    </row>
    <row r="20" spans="1:9" ht="15" customHeight="1" x14ac:dyDescent="0.3">
      <c r="A20" s="10" t="s">
        <v>378</v>
      </c>
      <c r="B20" s="7" t="s">
        <v>11</v>
      </c>
      <c r="C20" s="7">
        <v>4.7</v>
      </c>
      <c r="D20" s="11">
        <v>0.88600000000000001</v>
      </c>
      <c r="E20" s="7">
        <v>3.5</v>
      </c>
      <c r="F20" s="7">
        <v>30</v>
      </c>
      <c r="G20" s="7">
        <v>4.2</v>
      </c>
      <c r="H20" s="17">
        <f t="shared" si="0"/>
        <v>4.2324999999999999</v>
      </c>
      <c r="I20" s="7" t="str">
        <f t="shared" si="1"/>
        <v>Excellent</v>
      </c>
    </row>
    <row r="21" spans="1:9" ht="15" customHeight="1" x14ac:dyDescent="0.3">
      <c r="A21" s="10" t="s">
        <v>125</v>
      </c>
      <c r="B21" s="7" t="s">
        <v>11</v>
      </c>
      <c r="C21" s="7">
        <v>4.9000000000000004</v>
      </c>
      <c r="D21" s="11">
        <v>0.77200000000000002</v>
      </c>
      <c r="E21" s="7">
        <v>3.8</v>
      </c>
      <c r="F21" s="7">
        <v>60</v>
      </c>
      <c r="G21" s="7">
        <v>3.3</v>
      </c>
      <c r="H21" s="17">
        <f t="shared" si="0"/>
        <v>4.0449999999999999</v>
      </c>
      <c r="I21" s="7" t="str">
        <f t="shared" si="1"/>
        <v>Excellent</v>
      </c>
    </row>
    <row r="22" spans="1:9" ht="15" customHeight="1" x14ac:dyDescent="0.3">
      <c r="A22" s="10" t="s">
        <v>255</v>
      </c>
      <c r="B22" s="7" t="s">
        <v>12</v>
      </c>
      <c r="C22" s="7">
        <v>3.4</v>
      </c>
      <c r="D22" s="11">
        <v>0.83899999999999997</v>
      </c>
      <c r="E22" s="7">
        <v>4.3</v>
      </c>
      <c r="F22" s="7">
        <v>90</v>
      </c>
      <c r="G22" s="7">
        <v>3.8</v>
      </c>
      <c r="H22" s="17">
        <f t="shared" si="0"/>
        <v>3.9037499999999996</v>
      </c>
      <c r="I22" s="7" t="str">
        <f t="shared" si="1"/>
        <v>Good</v>
      </c>
    </row>
    <row r="23" spans="1:9" ht="15" customHeight="1" x14ac:dyDescent="0.3">
      <c r="A23" s="10" t="s">
        <v>138</v>
      </c>
      <c r="B23" s="7" t="s">
        <v>12</v>
      </c>
      <c r="C23" s="7">
        <v>4.7</v>
      </c>
      <c r="D23" s="11">
        <v>0.78700000000000003</v>
      </c>
      <c r="E23" s="7">
        <v>4.4000000000000004</v>
      </c>
      <c r="F23" s="7">
        <v>15</v>
      </c>
      <c r="G23" s="7">
        <v>4</v>
      </c>
      <c r="H23" s="17">
        <f t="shared" si="0"/>
        <v>4.2937500000000002</v>
      </c>
      <c r="I23" s="7" t="str">
        <f t="shared" si="1"/>
        <v>Excellent</v>
      </c>
    </row>
    <row r="24" spans="1:9" ht="15" customHeight="1" x14ac:dyDescent="0.3">
      <c r="A24" s="10" t="s">
        <v>230</v>
      </c>
      <c r="B24" s="7" t="s">
        <v>12</v>
      </c>
      <c r="C24" s="7">
        <v>2.5</v>
      </c>
      <c r="D24" s="11">
        <v>0.79100000000000004</v>
      </c>
      <c r="E24" s="7">
        <v>3.7</v>
      </c>
      <c r="F24" s="7">
        <v>60</v>
      </c>
      <c r="G24" s="7">
        <v>2.5</v>
      </c>
      <c r="H24" s="17">
        <f t="shared" si="0"/>
        <v>3.1637500000000003</v>
      </c>
      <c r="I24" s="7" t="str">
        <f t="shared" si="1"/>
        <v>Acceptable</v>
      </c>
    </row>
    <row r="25" spans="1:9" ht="15" customHeight="1" x14ac:dyDescent="0.3">
      <c r="A25" s="10" t="s">
        <v>151</v>
      </c>
      <c r="B25" s="7" t="s">
        <v>12</v>
      </c>
      <c r="C25" s="7">
        <v>3</v>
      </c>
      <c r="D25" s="11">
        <v>0.873</v>
      </c>
      <c r="E25" s="7">
        <v>3.4</v>
      </c>
      <c r="F25" s="7">
        <v>15</v>
      </c>
      <c r="G25" s="7">
        <v>2.8</v>
      </c>
      <c r="H25" s="17">
        <f t="shared" si="0"/>
        <v>3.4012500000000001</v>
      </c>
      <c r="I25" s="7" t="str">
        <f t="shared" si="1"/>
        <v>Acceptable</v>
      </c>
    </row>
    <row r="26" spans="1:9" ht="15" customHeight="1" x14ac:dyDescent="0.3">
      <c r="A26" s="10" t="s">
        <v>147</v>
      </c>
      <c r="B26" s="7" t="s">
        <v>13</v>
      </c>
      <c r="C26" s="7">
        <v>4.2</v>
      </c>
      <c r="D26" s="11">
        <v>0.86699999999999999</v>
      </c>
      <c r="E26" s="7">
        <v>4.2</v>
      </c>
      <c r="F26" s="7">
        <v>15</v>
      </c>
      <c r="G26" s="7">
        <v>2.7</v>
      </c>
      <c r="H26" s="17">
        <f t="shared" si="0"/>
        <v>3.9337499999999999</v>
      </c>
      <c r="I26" s="7" t="str">
        <f t="shared" si="1"/>
        <v>Good</v>
      </c>
    </row>
    <row r="27" spans="1:9" ht="15" customHeight="1" x14ac:dyDescent="0.3">
      <c r="A27" s="10" t="s">
        <v>64</v>
      </c>
      <c r="B27" s="7" t="s">
        <v>13</v>
      </c>
      <c r="C27" s="7">
        <v>5</v>
      </c>
      <c r="D27" s="11">
        <v>0.76300000000000001</v>
      </c>
      <c r="E27" s="7">
        <v>3</v>
      </c>
      <c r="F27" s="7">
        <v>30</v>
      </c>
      <c r="G27" s="7">
        <v>4.3</v>
      </c>
      <c r="H27" s="17">
        <f t="shared" si="0"/>
        <v>4.0637499999999998</v>
      </c>
      <c r="I27" s="7" t="str">
        <f t="shared" si="1"/>
        <v>Excellent</v>
      </c>
    </row>
    <row r="28" spans="1:9" ht="15" customHeight="1" x14ac:dyDescent="0.3">
      <c r="A28" s="10" t="s">
        <v>391</v>
      </c>
      <c r="B28" s="7" t="s">
        <v>13</v>
      </c>
      <c r="C28" s="7">
        <v>4.4000000000000004</v>
      </c>
      <c r="D28" s="11">
        <v>0.81899999999999995</v>
      </c>
      <c r="E28" s="7">
        <v>2.8</v>
      </c>
      <c r="F28" s="7">
        <v>60</v>
      </c>
      <c r="G28" s="7">
        <v>4.2</v>
      </c>
      <c r="H28" s="17">
        <f t="shared" si="0"/>
        <v>3.88375</v>
      </c>
      <c r="I28" s="7" t="str">
        <f t="shared" si="1"/>
        <v>Good</v>
      </c>
    </row>
    <row r="29" spans="1:9" ht="15" customHeight="1" x14ac:dyDescent="0.3">
      <c r="A29" s="10" t="s">
        <v>349</v>
      </c>
      <c r="B29" s="7" t="s">
        <v>14</v>
      </c>
      <c r="C29" s="7">
        <v>2.9</v>
      </c>
      <c r="D29" s="11">
        <v>0.84099999999999997</v>
      </c>
      <c r="E29" s="7">
        <v>4.3</v>
      </c>
      <c r="F29" s="7">
        <v>90</v>
      </c>
      <c r="G29" s="7">
        <v>3.7</v>
      </c>
      <c r="H29" s="17">
        <f t="shared" si="0"/>
        <v>3.7362500000000001</v>
      </c>
      <c r="I29" s="7" t="str">
        <f t="shared" si="1"/>
        <v>Good</v>
      </c>
    </row>
    <row r="30" spans="1:9" ht="15" customHeight="1" x14ac:dyDescent="0.3">
      <c r="A30" s="10" t="s">
        <v>392</v>
      </c>
      <c r="B30" s="7" t="s">
        <v>14</v>
      </c>
      <c r="C30" s="7">
        <v>4.2</v>
      </c>
      <c r="D30" s="11">
        <v>0.83499999999999996</v>
      </c>
      <c r="E30" s="7">
        <v>3.5</v>
      </c>
      <c r="F30" s="7">
        <v>15</v>
      </c>
      <c r="G30" s="7">
        <v>3.3</v>
      </c>
      <c r="H30" s="17">
        <f t="shared" si="0"/>
        <v>3.8387500000000001</v>
      </c>
      <c r="I30" s="7" t="str">
        <f t="shared" si="1"/>
        <v>Good</v>
      </c>
    </row>
    <row r="31" spans="1:9" ht="15" customHeight="1" x14ac:dyDescent="0.3">
      <c r="A31" s="10" t="s">
        <v>89</v>
      </c>
      <c r="B31" s="7" t="s">
        <v>14</v>
      </c>
      <c r="C31" s="7">
        <v>3.6</v>
      </c>
      <c r="D31" s="11">
        <v>0.76900000000000002</v>
      </c>
      <c r="E31" s="7">
        <v>3.3</v>
      </c>
      <c r="F31" s="7">
        <v>60</v>
      </c>
      <c r="G31" s="7">
        <v>3.7</v>
      </c>
      <c r="H31" s="17">
        <f t="shared" si="0"/>
        <v>3.6062500000000002</v>
      </c>
      <c r="I31" s="7" t="str">
        <f t="shared" si="1"/>
        <v>Good</v>
      </c>
    </row>
    <row r="32" spans="1:9" ht="15" customHeight="1" x14ac:dyDescent="0.3">
      <c r="A32" s="10" t="s">
        <v>199</v>
      </c>
      <c r="B32" s="7" t="s">
        <v>15</v>
      </c>
      <c r="C32" s="7">
        <v>4.3</v>
      </c>
      <c r="D32" s="11">
        <v>0.85</v>
      </c>
      <c r="E32" s="7">
        <v>2.8</v>
      </c>
      <c r="F32" s="7">
        <v>15</v>
      </c>
      <c r="G32" s="7">
        <v>4.9000000000000004</v>
      </c>
      <c r="H32" s="17">
        <f t="shared" si="0"/>
        <v>4.0325000000000006</v>
      </c>
      <c r="I32" s="7" t="str">
        <f t="shared" si="1"/>
        <v>Excellent</v>
      </c>
    </row>
    <row r="33" spans="1:9" ht="15" customHeight="1" x14ac:dyDescent="0.3">
      <c r="A33" s="10" t="s">
        <v>113</v>
      </c>
      <c r="B33" s="7" t="s">
        <v>15</v>
      </c>
      <c r="C33" s="7">
        <v>2.9</v>
      </c>
      <c r="D33" s="11">
        <v>0.97699999999999998</v>
      </c>
      <c r="E33" s="7">
        <v>3.7</v>
      </c>
      <c r="F33" s="7">
        <v>45</v>
      </c>
      <c r="G33" s="7">
        <v>2.2999999999999998</v>
      </c>
      <c r="H33" s="17">
        <f t="shared" si="0"/>
        <v>3.4762500000000003</v>
      </c>
      <c r="I33" s="7" t="str">
        <f t="shared" si="1"/>
        <v>Acceptable</v>
      </c>
    </row>
    <row r="34" spans="1:9" ht="15" customHeight="1" x14ac:dyDescent="0.3">
      <c r="A34" s="10" t="s">
        <v>207</v>
      </c>
      <c r="B34" s="7" t="s">
        <v>15</v>
      </c>
      <c r="C34" s="7">
        <v>4.5999999999999996</v>
      </c>
      <c r="D34" s="11">
        <v>0.80800000000000005</v>
      </c>
      <c r="E34" s="7">
        <v>4</v>
      </c>
      <c r="F34" s="7">
        <v>90</v>
      </c>
      <c r="G34" s="7">
        <v>2.2000000000000002</v>
      </c>
      <c r="H34" s="17">
        <f t="shared" si="0"/>
        <v>3.8299999999999996</v>
      </c>
      <c r="I34" s="7" t="str">
        <f t="shared" si="1"/>
        <v>Good</v>
      </c>
    </row>
    <row r="35" spans="1:9" ht="15" customHeight="1" x14ac:dyDescent="0.3">
      <c r="A35" s="10" t="s">
        <v>393</v>
      </c>
      <c r="B35" s="7" t="s">
        <v>16</v>
      </c>
      <c r="C35" s="7">
        <v>4.7</v>
      </c>
      <c r="D35" s="11">
        <v>0.92900000000000005</v>
      </c>
      <c r="E35" s="7">
        <v>3.1</v>
      </c>
      <c r="F35" s="7">
        <v>30</v>
      </c>
      <c r="G35" s="7">
        <v>2.2000000000000002</v>
      </c>
      <c r="H35" s="17">
        <f t="shared" si="0"/>
        <v>3.7862499999999999</v>
      </c>
      <c r="I35" s="7" t="str">
        <f t="shared" si="1"/>
        <v>Good</v>
      </c>
    </row>
    <row r="36" spans="1:9" ht="15" customHeight="1" x14ac:dyDescent="0.3">
      <c r="A36" s="10" t="s">
        <v>315</v>
      </c>
      <c r="B36" s="7" t="s">
        <v>16</v>
      </c>
      <c r="C36" s="7">
        <v>4.0999999999999996</v>
      </c>
      <c r="D36" s="11">
        <v>0.877</v>
      </c>
      <c r="E36" s="7">
        <v>3</v>
      </c>
      <c r="F36" s="7">
        <v>45</v>
      </c>
      <c r="G36" s="7">
        <v>3.1</v>
      </c>
      <c r="H36" s="17">
        <f t="shared" si="0"/>
        <v>3.69625</v>
      </c>
      <c r="I36" s="7" t="str">
        <f t="shared" si="1"/>
        <v>Good</v>
      </c>
    </row>
    <row r="37" spans="1:9" ht="15" customHeight="1" x14ac:dyDescent="0.3">
      <c r="A37" s="10" t="s">
        <v>79</v>
      </c>
      <c r="B37" s="7" t="s">
        <v>16</v>
      </c>
      <c r="C37" s="7">
        <v>4.9000000000000004</v>
      </c>
      <c r="D37" s="11">
        <v>0.90500000000000003</v>
      </c>
      <c r="E37" s="7">
        <v>2.9</v>
      </c>
      <c r="F37" s="7">
        <v>15</v>
      </c>
      <c r="G37" s="7">
        <v>2.4</v>
      </c>
      <c r="H37" s="17">
        <f t="shared" si="0"/>
        <v>3.8062500000000004</v>
      </c>
      <c r="I37" s="7" t="str">
        <f t="shared" si="1"/>
        <v>Good</v>
      </c>
    </row>
  </sheetData>
  <mergeCells count="2">
    <mergeCell ref="A1:I1"/>
    <mergeCell ref="A2:I2"/>
  </mergeCells>
  <conditionalFormatting sqref="H4:H37">
    <cfRule type="colorScale" priority="2">
      <colorScale>
        <cfvo type="num" val="2"/>
        <cfvo type="num" val="3.5"/>
        <cfvo type="num" val="5"/>
        <color rgb="FFE74C3C"/>
        <color rgb="FFF39C12"/>
        <color rgb="FF27AE60"/>
      </colorScale>
    </cfRule>
  </conditionalFormatting>
  <conditionalFormatting sqref="I4:I37">
    <cfRule type="cellIs" dxfId="16" priority="3" operator="equal">
      <formula>"Excellent"</formula>
    </cfRule>
    <cfRule type="cellIs" dxfId="15" priority="4" operator="equal">
      <formula>"Review Required"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L34"/>
  <sheetViews>
    <sheetView topLeftCell="D1" zoomScaleNormal="100" workbookViewId="0">
      <pane ySplit="3" topLeftCell="A11" activePane="bottomLeft" state="frozen"/>
      <selection pane="bottomLeft" sqref="A1:L1"/>
    </sheetView>
  </sheetViews>
  <sheetFormatPr defaultColWidth="8.6640625" defaultRowHeight="14.4" x14ac:dyDescent="0.3"/>
  <cols>
    <col min="1" max="1" width="14" customWidth="1"/>
    <col min="2" max="2" width="36" customWidth="1"/>
    <col min="3" max="3" width="22" customWidth="1"/>
    <col min="4" max="4" width="24" customWidth="1"/>
    <col min="5" max="8" width="18" customWidth="1"/>
    <col min="9" max="9" width="12" customWidth="1"/>
    <col min="10" max="10" width="14" customWidth="1"/>
    <col min="11" max="11" width="18" customWidth="1"/>
    <col min="12" max="12" width="14" customWidth="1"/>
  </cols>
  <sheetData>
    <row r="1" spans="1:12" ht="19.5" customHeight="1" x14ac:dyDescent="0.4">
      <c r="A1" s="49" t="s">
        <v>394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spans="1:12" ht="26.25" customHeight="1" x14ac:dyDescent="0.3">
      <c r="A3" s="6" t="s">
        <v>395</v>
      </c>
      <c r="B3" s="6" t="s">
        <v>396</v>
      </c>
      <c r="C3" s="6" t="s">
        <v>6</v>
      </c>
      <c r="D3" s="6" t="s">
        <v>42</v>
      </c>
      <c r="E3" s="6" t="s">
        <v>397</v>
      </c>
      <c r="F3" s="6" t="s">
        <v>398</v>
      </c>
      <c r="G3" s="6" t="s">
        <v>399</v>
      </c>
      <c r="H3" s="6" t="s">
        <v>400</v>
      </c>
      <c r="I3" s="6" t="s">
        <v>401</v>
      </c>
      <c r="J3" s="6" t="s">
        <v>390</v>
      </c>
      <c r="K3" s="6" t="s">
        <v>402</v>
      </c>
      <c r="L3" s="6" t="s">
        <v>403</v>
      </c>
    </row>
    <row r="4" spans="1:12" ht="15" customHeight="1" x14ac:dyDescent="0.3">
      <c r="A4" s="7" t="s">
        <v>404</v>
      </c>
      <c r="B4" s="10" t="s">
        <v>405</v>
      </c>
      <c r="C4" s="7" t="s">
        <v>8</v>
      </c>
      <c r="D4" s="7" t="s">
        <v>44</v>
      </c>
      <c r="E4" s="9">
        <v>12500000</v>
      </c>
      <c r="F4" s="9">
        <v>11250000</v>
      </c>
      <c r="G4" s="9">
        <v>11100000</v>
      </c>
      <c r="H4" s="18">
        <f t="shared" ref="H4:H19" si="0">E4-G4</f>
        <v>1400000</v>
      </c>
      <c r="I4" s="11">
        <f t="shared" ref="I4:I21" si="1">IFERROR(H4/E4,0)</f>
        <v>0.112</v>
      </c>
      <c r="J4" s="7" t="s">
        <v>406</v>
      </c>
      <c r="K4" s="8">
        <v>45672</v>
      </c>
      <c r="L4" s="7" t="s">
        <v>407</v>
      </c>
    </row>
    <row r="5" spans="1:12" ht="15" customHeight="1" x14ac:dyDescent="0.3">
      <c r="A5" s="7" t="s">
        <v>408</v>
      </c>
      <c r="B5" s="10" t="s">
        <v>409</v>
      </c>
      <c r="C5" s="7" t="s">
        <v>11</v>
      </c>
      <c r="D5" s="7" t="s">
        <v>45</v>
      </c>
      <c r="E5" s="9">
        <v>5800000</v>
      </c>
      <c r="F5" s="9">
        <v>5400000</v>
      </c>
      <c r="G5" s="9">
        <v>5350000</v>
      </c>
      <c r="H5" s="18">
        <f t="shared" si="0"/>
        <v>450000</v>
      </c>
      <c r="I5" s="11">
        <f t="shared" si="1"/>
        <v>7.7586206896551727E-2</v>
      </c>
      <c r="J5" s="7" t="s">
        <v>406</v>
      </c>
      <c r="K5" s="8">
        <v>45689</v>
      </c>
      <c r="L5" s="7" t="s">
        <v>410</v>
      </c>
    </row>
    <row r="6" spans="1:12" ht="15" customHeight="1" x14ac:dyDescent="0.3">
      <c r="A6" s="7" t="s">
        <v>411</v>
      </c>
      <c r="B6" s="10" t="s">
        <v>412</v>
      </c>
      <c r="C6" s="7" t="s">
        <v>12</v>
      </c>
      <c r="D6" s="7" t="s">
        <v>46</v>
      </c>
      <c r="E6" s="9">
        <v>8200000</v>
      </c>
      <c r="F6" s="9">
        <v>7800000</v>
      </c>
      <c r="G6" s="9">
        <v>7750000</v>
      </c>
      <c r="H6" s="18">
        <f t="shared" si="0"/>
        <v>450000</v>
      </c>
      <c r="I6" s="11">
        <f t="shared" si="1"/>
        <v>5.4878048780487805E-2</v>
      </c>
      <c r="J6" s="7" t="s">
        <v>406</v>
      </c>
      <c r="K6" s="8">
        <v>45677</v>
      </c>
      <c r="L6" s="7" t="s">
        <v>413</v>
      </c>
    </row>
    <row r="7" spans="1:12" ht="15" customHeight="1" x14ac:dyDescent="0.3">
      <c r="A7" s="7" t="s">
        <v>414</v>
      </c>
      <c r="B7" s="10" t="s">
        <v>415</v>
      </c>
      <c r="C7" s="7" t="s">
        <v>14</v>
      </c>
      <c r="D7" s="7" t="s">
        <v>44</v>
      </c>
      <c r="E7" s="9">
        <v>2100000</v>
      </c>
      <c r="F7" s="9">
        <v>1900000</v>
      </c>
      <c r="G7" s="9">
        <v>1880000</v>
      </c>
      <c r="H7" s="18">
        <f t="shared" si="0"/>
        <v>220000</v>
      </c>
      <c r="I7" s="11">
        <f t="shared" si="1"/>
        <v>0.10476190476190476</v>
      </c>
      <c r="J7" s="7" t="s">
        <v>406</v>
      </c>
      <c r="K7" s="8">
        <v>45717</v>
      </c>
      <c r="L7" s="7" t="s">
        <v>416</v>
      </c>
    </row>
    <row r="8" spans="1:12" ht="15" customHeight="1" x14ac:dyDescent="0.3">
      <c r="A8" s="7" t="s">
        <v>417</v>
      </c>
      <c r="B8" s="10" t="s">
        <v>418</v>
      </c>
      <c r="C8" s="7" t="s">
        <v>10</v>
      </c>
      <c r="D8" s="7" t="s">
        <v>47</v>
      </c>
      <c r="E8" s="9">
        <v>7500000</v>
      </c>
      <c r="F8" s="9">
        <v>7000000</v>
      </c>
      <c r="G8" s="9">
        <v>6950000</v>
      </c>
      <c r="H8" s="18">
        <f t="shared" si="0"/>
        <v>550000</v>
      </c>
      <c r="I8" s="11">
        <f t="shared" si="1"/>
        <v>7.3333333333333334E-2</v>
      </c>
      <c r="J8" s="7" t="s">
        <v>406</v>
      </c>
      <c r="K8" s="8">
        <v>45703</v>
      </c>
      <c r="L8" s="7" t="s">
        <v>419</v>
      </c>
    </row>
    <row r="9" spans="1:12" ht="15" customHeight="1" x14ac:dyDescent="0.3">
      <c r="A9" s="7" t="s">
        <v>420</v>
      </c>
      <c r="B9" s="10" t="s">
        <v>421</v>
      </c>
      <c r="C9" s="7" t="s">
        <v>13</v>
      </c>
      <c r="D9" s="7" t="s">
        <v>49</v>
      </c>
      <c r="E9" s="9">
        <v>3800000</v>
      </c>
      <c r="F9" s="9">
        <v>3500000</v>
      </c>
      <c r="G9" s="9">
        <v>3520000</v>
      </c>
      <c r="H9" s="18">
        <f t="shared" si="0"/>
        <v>280000</v>
      </c>
      <c r="I9" s="11">
        <f t="shared" si="1"/>
        <v>7.3684210526315783E-2</v>
      </c>
      <c r="J9" s="7" t="s">
        <v>406</v>
      </c>
      <c r="K9" s="8">
        <v>45748</v>
      </c>
      <c r="L9" s="7" t="s">
        <v>422</v>
      </c>
    </row>
    <row r="10" spans="1:12" ht="15" customHeight="1" x14ac:dyDescent="0.3">
      <c r="A10" s="7" t="s">
        <v>423</v>
      </c>
      <c r="B10" s="10" t="s">
        <v>424</v>
      </c>
      <c r="C10" s="7" t="s">
        <v>9</v>
      </c>
      <c r="D10" s="7" t="s">
        <v>47</v>
      </c>
      <c r="E10" s="9">
        <v>15200000</v>
      </c>
      <c r="F10" s="9">
        <v>14200000</v>
      </c>
      <c r="G10" s="9">
        <v>14050000</v>
      </c>
      <c r="H10" s="18">
        <f t="shared" si="0"/>
        <v>1150000</v>
      </c>
      <c r="I10" s="11">
        <f t="shared" si="1"/>
        <v>7.5657894736842105E-2</v>
      </c>
      <c r="J10" s="7" t="s">
        <v>406</v>
      </c>
      <c r="K10" s="8">
        <v>45731</v>
      </c>
      <c r="L10" s="7" t="s">
        <v>407</v>
      </c>
    </row>
    <row r="11" spans="1:12" ht="15" customHeight="1" x14ac:dyDescent="0.3">
      <c r="A11" s="7" t="s">
        <v>425</v>
      </c>
      <c r="B11" s="10" t="s">
        <v>426</v>
      </c>
      <c r="C11" s="7" t="s">
        <v>16</v>
      </c>
      <c r="D11" s="7" t="s">
        <v>46</v>
      </c>
      <c r="E11" s="9">
        <v>2200000</v>
      </c>
      <c r="F11" s="9">
        <v>2000000</v>
      </c>
      <c r="G11" s="9">
        <v>1980000</v>
      </c>
      <c r="H11" s="18">
        <f t="shared" si="0"/>
        <v>220000</v>
      </c>
      <c r="I11" s="11">
        <f t="shared" si="1"/>
        <v>0.1</v>
      </c>
      <c r="J11" s="7" t="s">
        <v>406</v>
      </c>
      <c r="K11" s="8">
        <v>45778</v>
      </c>
      <c r="L11" s="7" t="s">
        <v>410</v>
      </c>
    </row>
    <row r="12" spans="1:12" ht="15" customHeight="1" x14ac:dyDescent="0.3">
      <c r="A12" s="7" t="s">
        <v>427</v>
      </c>
      <c r="B12" s="10" t="s">
        <v>428</v>
      </c>
      <c r="C12" s="7" t="s">
        <v>15</v>
      </c>
      <c r="D12" s="7" t="s">
        <v>48</v>
      </c>
      <c r="E12" s="9">
        <v>2500000</v>
      </c>
      <c r="F12" s="9">
        <v>2250000</v>
      </c>
      <c r="G12" s="9">
        <v>2200000</v>
      </c>
      <c r="H12" s="18">
        <f t="shared" si="0"/>
        <v>300000</v>
      </c>
      <c r="I12" s="11">
        <f t="shared" si="1"/>
        <v>0.12</v>
      </c>
      <c r="J12" s="7" t="s">
        <v>406</v>
      </c>
      <c r="K12" s="8">
        <v>45762</v>
      </c>
      <c r="L12" s="7" t="s">
        <v>413</v>
      </c>
    </row>
    <row r="13" spans="1:12" ht="15" customHeight="1" x14ac:dyDescent="0.3">
      <c r="A13" s="7" t="s">
        <v>429</v>
      </c>
      <c r="B13" s="10" t="s">
        <v>430</v>
      </c>
      <c r="C13" s="7" t="s">
        <v>8</v>
      </c>
      <c r="D13" s="7" t="s">
        <v>47</v>
      </c>
      <c r="E13" s="9">
        <v>9800000</v>
      </c>
      <c r="F13" s="9">
        <v>9200000</v>
      </c>
      <c r="G13" s="9">
        <v>9150000</v>
      </c>
      <c r="H13" s="18">
        <f t="shared" si="0"/>
        <v>650000</v>
      </c>
      <c r="I13" s="11">
        <f t="shared" si="1"/>
        <v>6.6326530612244902E-2</v>
      </c>
      <c r="J13" s="7" t="s">
        <v>406</v>
      </c>
      <c r="K13" s="8">
        <v>45792</v>
      </c>
      <c r="L13" s="7" t="s">
        <v>416</v>
      </c>
    </row>
    <row r="14" spans="1:12" ht="15" customHeight="1" x14ac:dyDescent="0.3">
      <c r="A14" s="7" t="s">
        <v>431</v>
      </c>
      <c r="B14" s="10" t="s">
        <v>432</v>
      </c>
      <c r="C14" s="7" t="s">
        <v>11</v>
      </c>
      <c r="D14" s="7" t="s">
        <v>49</v>
      </c>
      <c r="E14" s="9">
        <v>4200000</v>
      </c>
      <c r="F14" s="9">
        <v>3900000</v>
      </c>
      <c r="G14" s="9">
        <v>3880000</v>
      </c>
      <c r="H14" s="18">
        <f t="shared" si="0"/>
        <v>320000</v>
      </c>
      <c r="I14" s="11">
        <f t="shared" si="1"/>
        <v>7.6190476190476197E-2</v>
      </c>
      <c r="J14" s="7" t="s">
        <v>406</v>
      </c>
      <c r="K14" s="8">
        <v>45809</v>
      </c>
      <c r="L14" s="7" t="s">
        <v>419</v>
      </c>
    </row>
    <row r="15" spans="1:12" ht="15" customHeight="1" x14ac:dyDescent="0.3">
      <c r="A15" s="7" t="s">
        <v>433</v>
      </c>
      <c r="B15" s="10" t="s">
        <v>434</v>
      </c>
      <c r="C15" s="7" t="s">
        <v>10</v>
      </c>
      <c r="D15" s="7" t="s">
        <v>45</v>
      </c>
      <c r="E15" s="9">
        <v>6000000</v>
      </c>
      <c r="F15" s="9">
        <v>5600000</v>
      </c>
      <c r="G15" s="9">
        <v>5700000</v>
      </c>
      <c r="H15" s="18">
        <f t="shared" si="0"/>
        <v>300000</v>
      </c>
      <c r="I15" s="11">
        <f t="shared" si="1"/>
        <v>0.05</v>
      </c>
      <c r="J15" s="7" t="s">
        <v>435</v>
      </c>
      <c r="K15" s="8">
        <v>45839</v>
      </c>
      <c r="L15" s="7" t="s">
        <v>422</v>
      </c>
    </row>
    <row r="16" spans="1:12" ht="15" customHeight="1" x14ac:dyDescent="0.3">
      <c r="A16" s="7" t="s">
        <v>436</v>
      </c>
      <c r="B16" s="10" t="s">
        <v>437</v>
      </c>
      <c r="C16" s="7" t="s">
        <v>12</v>
      </c>
      <c r="D16" s="7" t="s">
        <v>44</v>
      </c>
      <c r="E16" s="9">
        <v>7000000</v>
      </c>
      <c r="F16" s="9">
        <v>6400000</v>
      </c>
      <c r="G16" s="9">
        <v>6500000</v>
      </c>
      <c r="H16" s="18">
        <f t="shared" si="0"/>
        <v>500000</v>
      </c>
      <c r="I16" s="11">
        <f t="shared" si="1"/>
        <v>7.1428571428571425E-2</v>
      </c>
      <c r="J16" s="7" t="s">
        <v>435</v>
      </c>
      <c r="K16" s="8">
        <v>45870</v>
      </c>
      <c r="L16" s="7" t="s">
        <v>407</v>
      </c>
    </row>
    <row r="17" spans="1:12" ht="15" customHeight="1" x14ac:dyDescent="0.3">
      <c r="A17" s="7" t="s">
        <v>438</v>
      </c>
      <c r="B17" s="10" t="s">
        <v>439</v>
      </c>
      <c r="C17" s="7" t="s">
        <v>9</v>
      </c>
      <c r="D17" s="7" t="s">
        <v>48</v>
      </c>
      <c r="E17" s="9">
        <v>8500000</v>
      </c>
      <c r="F17" s="9">
        <v>7900000</v>
      </c>
      <c r="G17" s="9">
        <v>8000000</v>
      </c>
      <c r="H17" s="18">
        <f t="shared" si="0"/>
        <v>500000</v>
      </c>
      <c r="I17" s="11">
        <f t="shared" si="1"/>
        <v>5.8823529411764705E-2</v>
      </c>
      <c r="J17" s="7" t="s">
        <v>435</v>
      </c>
      <c r="K17" s="8">
        <v>45901</v>
      </c>
      <c r="L17" s="7" t="s">
        <v>410</v>
      </c>
    </row>
    <row r="18" spans="1:12" ht="15" customHeight="1" x14ac:dyDescent="0.3">
      <c r="A18" s="7" t="s">
        <v>440</v>
      </c>
      <c r="B18" s="10" t="s">
        <v>441</v>
      </c>
      <c r="C18" s="7" t="s">
        <v>13</v>
      </c>
      <c r="D18" s="7" t="s">
        <v>45</v>
      </c>
      <c r="E18" s="9">
        <v>3200000</v>
      </c>
      <c r="F18" s="9">
        <v>2900000</v>
      </c>
      <c r="G18" s="9">
        <v>2950000</v>
      </c>
      <c r="H18" s="18">
        <f t="shared" si="0"/>
        <v>250000</v>
      </c>
      <c r="I18" s="11">
        <f t="shared" si="1"/>
        <v>7.8125E-2</v>
      </c>
      <c r="J18" s="7" t="s">
        <v>435</v>
      </c>
      <c r="K18" s="8">
        <v>45931</v>
      </c>
      <c r="L18" s="7" t="s">
        <v>413</v>
      </c>
    </row>
    <row r="19" spans="1:12" ht="15" customHeight="1" x14ac:dyDescent="0.3">
      <c r="A19" s="7" t="s">
        <v>442</v>
      </c>
      <c r="B19" s="10" t="s">
        <v>443</v>
      </c>
      <c r="C19" s="7" t="s">
        <v>14</v>
      </c>
      <c r="D19" s="7" t="s">
        <v>46</v>
      </c>
      <c r="E19" s="9">
        <v>1800000</v>
      </c>
      <c r="F19" s="9">
        <v>1500000</v>
      </c>
      <c r="G19" s="9">
        <v>1600000</v>
      </c>
      <c r="H19" s="18">
        <f t="shared" si="0"/>
        <v>200000</v>
      </c>
      <c r="I19" s="11">
        <f t="shared" si="1"/>
        <v>0.1111111111111111</v>
      </c>
      <c r="J19" s="7" t="s">
        <v>435</v>
      </c>
      <c r="K19" s="8">
        <v>45962</v>
      </c>
      <c r="L19" s="7" t="s">
        <v>416</v>
      </c>
    </row>
    <row r="20" spans="1:12" ht="15" customHeight="1" x14ac:dyDescent="0.3">
      <c r="A20" s="7" t="s">
        <v>444</v>
      </c>
      <c r="B20" s="10" t="s">
        <v>445</v>
      </c>
      <c r="C20" s="7" t="s">
        <v>8</v>
      </c>
      <c r="D20" s="7" t="s">
        <v>47</v>
      </c>
      <c r="E20" s="9">
        <v>11000000</v>
      </c>
      <c r="F20" s="9">
        <v>10200000</v>
      </c>
      <c r="G20" s="7" t="s">
        <v>446</v>
      </c>
      <c r="H20" s="18">
        <f>E20-F20</f>
        <v>800000</v>
      </c>
      <c r="I20" s="11">
        <f t="shared" si="1"/>
        <v>7.2727272727272724E-2</v>
      </c>
      <c r="J20" s="7" t="s">
        <v>447</v>
      </c>
      <c r="K20" s="8">
        <v>46023</v>
      </c>
      <c r="L20" s="7" t="s">
        <v>419</v>
      </c>
    </row>
    <row r="21" spans="1:12" ht="15" customHeight="1" x14ac:dyDescent="0.3">
      <c r="A21" s="7" t="s">
        <v>448</v>
      </c>
      <c r="B21" s="10" t="s">
        <v>449</v>
      </c>
      <c r="C21" s="7" t="s">
        <v>11</v>
      </c>
      <c r="D21" s="7" t="s">
        <v>46</v>
      </c>
      <c r="E21" s="9">
        <v>3500000</v>
      </c>
      <c r="F21" s="9">
        <v>3100000</v>
      </c>
      <c r="G21" s="7" t="s">
        <v>446</v>
      </c>
      <c r="H21" s="18">
        <f>E21-F21</f>
        <v>400000</v>
      </c>
      <c r="I21" s="11">
        <f t="shared" si="1"/>
        <v>0.11428571428571428</v>
      </c>
      <c r="J21" s="7" t="s">
        <v>447</v>
      </c>
      <c r="K21" s="8">
        <v>46054</v>
      </c>
      <c r="L21" s="7" t="s">
        <v>422</v>
      </c>
    </row>
    <row r="23" spans="1:12" ht="15" customHeight="1" x14ac:dyDescent="0.3">
      <c r="A23" s="50" t="s">
        <v>450</v>
      </c>
      <c r="B23" s="50"/>
      <c r="C23" s="50"/>
      <c r="D23" s="50"/>
    </row>
    <row r="24" spans="1:12" ht="15" customHeight="1" x14ac:dyDescent="0.3">
      <c r="A24" s="19" t="s">
        <v>451</v>
      </c>
      <c r="B24" s="16">
        <f>SUM(E4:E21)</f>
        <v>114800000</v>
      </c>
    </row>
    <row r="25" spans="1:12" ht="15" customHeight="1" x14ac:dyDescent="0.3">
      <c r="A25" s="19" t="s">
        <v>452</v>
      </c>
      <c r="B25" s="16">
        <f>SUM(H4:H21)</f>
        <v>8940000</v>
      </c>
    </row>
    <row r="26" spans="1:12" ht="24" customHeight="1" x14ac:dyDescent="0.4">
      <c r="A26" s="19" t="s">
        <v>453</v>
      </c>
      <c r="B26" s="20">
        <f>IFERROR(B25/B24,0)</f>
        <v>7.7874564459930309E-2</v>
      </c>
    </row>
    <row r="28" spans="1:12" ht="15" customHeight="1" x14ac:dyDescent="0.3">
      <c r="A28" s="2" t="s">
        <v>42</v>
      </c>
      <c r="B28" s="2" t="s">
        <v>454</v>
      </c>
    </row>
    <row r="29" spans="1:12" ht="15" customHeight="1" x14ac:dyDescent="0.3">
      <c r="A29" s="15" t="s">
        <v>44</v>
      </c>
      <c r="B29" s="21">
        <f t="shared" ref="B29:B34" si="2">SUMIFS(H$4:H$21,D$4:D$21,A29)</f>
        <v>2120000</v>
      </c>
    </row>
    <row r="30" spans="1:12" ht="15" customHeight="1" x14ac:dyDescent="0.3">
      <c r="A30" s="15" t="s">
        <v>45</v>
      </c>
      <c r="B30" s="21">
        <f t="shared" si="2"/>
        <v>1000000</v>
      </c>
    </row>
    <row r="31" spans="1:12" ht="15" customHeight="1" x14ac:dyDescent="0.3">
      <c r="A31" s="15" t="s">
        <v>46</v>
      </c>
      <c r="B31" s="21">
        <f t="shared" si="2"/>
        <v>1270000</v>
      </c>
    </row>
    <row r="32" spans="1:12" ht="15" customHeight="1" x14ac:dyDescent="0.3">
      <c r="A32" s="15" t="s">
        <v>47</v>
      </c>
      <c r="B32" s="21">
        <f t="shared" si="2"/>
        <v>3150000</v>
      </c>
    </row>
    <row r="33" spans="1:2" ht="15" customHeight="1" x14ac:dyDescent="0.3">
      <c r="A33" s="15" t="s">
        <v>48</v>
      </c>
      <c r="B33" s="21">
        <f t="shared" si="2"/>
        <v>800000</v>
      </c>
    </row>
    <row r="34" spans="1:2" ht="15" customHeight="1" x14ac:dyDescent="0.3">
      <c r="A34" s="15" t="s">
        <v>49</v>
      </c>
      <c r="B34" s="21">
        <f t="shared" si="2"/>
        <v>600000</v>
      </c>
    </row>
  </sheetData>
  <mergeCells count="2">
    <mergeCell ref="A1:L1"/>
    <mergeCell ref="A23:D23"/>
  </mergeCells>
  <conditionalFormatting sqref="J4:J21">
    <cfRule type="cellIs" dxfId="14" priority="2" operator="equal">
      <formula>"Completed"</formula>
    </cfRule>
    <cfRule type="cellIs" dxfId="13" priority="3" operator="equal">
      <formula>"In Progress"</formula>
    </cfRule>
    <cfRule type="cellIs" dxfId="12" priority="4" operator="equal">
      <formula>"Planned"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E50"/>
  </sheetPr>
  <dimension ref="A1:G44"/>
  <sheetViews>
    <sheetView zoomScaleNormal="100" workbookViewId="0">
      <selection activeCell="B36" sqref="B36"/>
    </sheetView>
  </sheetViews>
  <sheetFormatPr defaultColWidth="8.6640625" defaultRowHeight="14.4" x14ac:dyDescent="0.3"/>
  <cols>
    <col min="1" max="1" width="30" customWidth="1"/>
    <col min="2" max="2" width="20" customWidth="1"/>
    <col min="3" max="7" width="16" customWidth="1"/>
  </cols>
  <sheetData>
    <row r="1" spans="1:7" ht="19.5" customHeight="1" x14ac:dyDescent="0.4">
      <c r="A1" s="49" t="s">
        <v>455</v>
      </c>
      <c r="B1" s="49"/>
      <c r="C1" s="49"/>
      <c r="D1" s="49"/>
      <c r="E1" s="49"/>
      <c r="F1" s="49"/>
      <c r="G1" s="49"/>
    </row>
    <row r="3" spans="1:7" ht="15" customHeight="1" x14ac:dyDescent="0.3">
      <c r="A3" s="50" t="s">
        <v>456</v>
      </c>
      <c r="B3" s="50"/>
      <c r="C3" s="50"/>
      <c r="D3" s="50"/>
      <c r="E3" s="50"/>
      <c r="F3" s="50"/>
      <c r="G3" s="50"/>
    </row>
    <row r="5" spans="1:7" ht="15" customHeight="1" x14ac:dyDescent="0.3">
      <c r="A5" s="19" t="s">
        <v>396</v>
      </c>
      <c r="B5" s="22" t="s">
        <v>457</v>
      </c>
    </row>
    <row r="6" spans="1:7" ht="15" customHeight="1" x14ac:dyDescent="0.3">
      <c r="A6" s="19" t="s">
        <v>6</v>
      </c>
      <c r="B6" s="22" t="s">
        <v>12</v>
      </c>
    </row>
    <row r="7" spans="1:7" ht="15" customHeight="1" x14ac:dyDescent="0.3">
      <c r="A7" s="19" t="s">
        <v>458</v>
      </c>
      <c r="B7" s="23">
        <v>2500000</v>
      </c>
    </row>
    <row r="8" spans="1:7" ht="15" customHeight="1" x14ac:dyDescent="0.3">
      <c r="A8" s="19" t="s">
        <v>459</v>
      </c>
      <c r="B8" s="22">
        <v>18</v>
      </c>
    </row>
    <row r="9" spans="1:7" ht="15" customHeight="1" x14ac:dyDescent="0.3">
      <c r="A9" s="19" t="s">
        <v>460</v>
      </c>
      <c r="B9" s="24">
        <v>0.08</v>
      </c>
    </row>
    <row r="12" spans="1:7" ht="15" customHeight="1" x14ac:dyDescent="0.3">
      <c r="A12" s="50" t="s">
        <v>461</v>
      </c>
      <c r="B12" s="50"/>
      <c r="C12" s="50"/>
      <c r="D12" s="50"/>
      <c r="E12" s="50"/>
      <c r="F12" s="50"/>
      <c r="G12" s="50"/>
    </row>
    <row r="14" spans="1:7" ht="15" customHeight="1" x14ac:dyDescent="0.3">
      <c r="A14" s="6" t="s">
        <v>462</v>
      </c>
      <c r="B14" s="6" t="s">
        <v>463</v>
      </c>
      <c r="C14" s="6" t="s">
        <v>464</v>
      </c>
      <c r="D14" s="6" t="s">
        <v>465</v>
      </c>
      <c r="E14" s="6" t="s">
        <v>466</v>
      </c>
      <c r="F14" s="6" t="s">
        <v>467</v>
      </c>
    </row>
    <row r="15" spans="1:7" ht="15" customHeight="1" x14ac:dyDescent="0.3">
      <c r="A15" s="15" t="s">
        <v>468</v>
      </c>
      <c r="B15" s="23">
        <v>450000</v>
      </c>
      <c r="C15" s="23">
        <v>520000</v>
      </c>
      <c r="D15" s="23">
        <v>580000</v>
      </c>
      <c r="E15" s="23">
        <v>620000</v>
      </c>
      <c r="F15" s="23">
        <v>650000</v>
      </c>
    </row>
    <row r="16" spans="1:7" ht="15" customHeight="1" x14ac:dyDescent="0.3">
      <c r="A16" s="15" t="s">
        <v>469</v>
      </c>
      <c r="B16" s="23">
        <v>180000</v>
      </c>
      <c r="C16" s="23">
        <v>220000</v>
      </c>
      <c r="D16" s="23">
        <v>260000</v>
      </c>
      <c r="E16" s="23">
        <v>290000</v>
      </c>
      <c r="F16" s="23">
        <v>310000</v>
      </c>
    </row>
    <row r="17" spans="1:7" ht="15" customHeight="1" x14ac:dyDescent="0.3">
      <c r="A17" s="15" t="s">
        <v>470</v>
      </c>
      <c r="B17" s="23">
        <v>80000</v>
      </c>
      <c r="C17" s="23">
        <v>95000</v>
      </c>
      <c r="D17" s="23">
        <v>110000</v>
      </c>
      <c r="E17" s="23">
        <v>120000</v>
      </c>
      <c r="F17" s="23">
        <v>130000</v>
      </c>
    </row>
    <row r="18" spans="1:7" ht="15" customHeight="1" x14ac:dyDescent="0.3">
      <c r="A18" s="12" t="s">
        <v>471</v>
      </c>
      <c r="B18" s="13">
        <f>SUM(B15:B17)</f>
        <v>710000</v>
      </c>
      <c r="C18" s="13">
        <f>SUM(C15:C17)</f>
        <v>835000</v>
      </c>
      <c r="D18" s="13">
        <f>SUM(D15:D17)</f>
        <v>950000</v>
      </c>
      <c r="E18" s="13">
        <f>SUM(E15:E17)</f>
        <v>1030000</v>
      </c>
      <c r="F18" s="13">
        <f>SUM(F15:F17)</f>
        <v>1090000</v>
      </c>
    </row>
    <row r="20" spans="1:7" ht="15" customHeight="1" x14ac:dyDescent="0.3">
      <c r="A20" s="50" t="s">
        <v>472</v>
      </c>
      <c r="B20" s="50"/>
      <c r="C20" s="50"/>
      <c r="D20" s="50"/>
      <c r="E20" s="50"/>
      <c r="F20" s="50"/>
      <c r="G20" s="50"/>
    </row>
    <row r="22" spans="1:7" ht="15" customHeight="1" x14ac:dyDescent="0.3">
      <c r="A22" s="19" t="s">
        <v>473</v>
      </c>
      <c r="B22" s="25" t="s">
        <v>474</v>
      </c>
      <c r="C22" s="25" t="s">
        <v>463</v>
      </c>
      <c r="D22" s="25" t="s">
        <v>464</v>
      </c>
      <c r="E22" s="25" t="s">
        <v>465</v>
      </c>
      <c r="F22" s="25" t="s">
        <v>466</v>
      </c>
      <c r="G22" s="25" t="s">
        <v>467</v>
      </c>
    </row>
    <row r="23" spans="1:7" ht="15" customHeight="1" x14ac:dyDescent="0.3">
      <c r="A23" s="19" t="s">
        <v>475</v>
      </c>
      <c r="B23" s="26">
        <f>-B7</f>
        <v>-2500000</v>
      </c>
      <c r="C23" s="26">
        <f>B18</f>
        <v>710000</v>
      </c>
      <c r="D23" s="26">
        <f>C18</f>
        <v>835000</v>
      </c>
      <c r="E23" s="26">
        <f>D18</f>
        <v>950000</v>
      </c>
      <c r="F23" s="26">
        <f>E18</f>
        <v>1030000</v>
      </c>
      <c r="G23" s="26">
        <f>F18</f>
        <v>1090000</v>
      </c>
    </row>
    <row r="24" spans="1:7" ht="15" customHeight="1" x14ac:dyDescent="0.3">
      <c r="A24" s="19" t="s">
        <v>476</v>
      </c>
      <c r="B24" s="21">
        <f>B23</f>
        <v>-2500000</v>
      </c>
      <c r="C24" s="21">
        <f>B24+C23</f>
        <v>-1790000</v>
      </c>
      <c r="D24" s="21">
        <f>C24+D23</f>
        <v>-955000</v>
      </c>
      <c r="E24" s="21">
        <f>D24+E23</f>
        <v>-5000</v>
      </c>
      <c r="F24" s="21">
        <f>E24+F23</f>
        <v>1025000</v>
      </c>
      <c r="G24" s="21">
        <f>F24+G23</f>
        <v>2115000</v>
      </c>
    </row>
    <row r="26" spans="1:7" ht="24" customHeight="1" x14ac:dyDescent="0.4">
      <c r="A26" s="19" t="s">
        <v>477</v>
      </c>
      <c r="B26" s="27">
        <f>NPV(B9,C23:G23)+B23</f>
        <v>1126342.384475695</v>
      </c>
    </row>
    <row r="27" spans="1:7" ht="24" customHeight="1" x14ac:dyDescent="0.4">
      <c r="A27" s="19" t="s">
        <v>478</v>
      </c>
      <c r="B27" s="20">
        <f>IRR(B23:G23)</f>
        <v>0.22593148023218146</v>
      </c>
    </row>
    <row r="28" spans="1:7" ht="24" customHeight="1" x14ac:dyDescent="0.4">
      <c r="A28" s="19" t="s">
        <v>479</v>
      </c>
      <c r="B28" s="20">
        <f>IFERROR((SUM(C23:G23)+B23)/(-B23),0)</f>
        <v>0.84599999999999997</v>
      </c>
    </row>
    <row r="29" spans="1:7" ht="24" customHeight="1" x14ac:dyDescent="0.4">
      <c r="A29" s="19" t="s">
        <v>480</v>
      </c>
      <c r="B29" s="28">
        <f>IFERROR(MATCH(TRUE(),INDEX(B24:G24&gt;0,0),0)-1,"&gt;5")</f>
        <v>4</v>
      </c>
    </row>
    <row r="31" spans="1:7" ht="15" customHeight="1" x14ac:dyDescent="0.3">
      <c r="A31" s="50" t="s">
        <v>481</v>
      </c>
      <c r="B31" s="50"/>
      <c r="C31" s="50"/>
      <c r="D31" s="50"/>
      <c r="E31" s="50"/>
      <c r="F31" s="50"/>
      <c r="G31" s="50"/>
    </row>
    <row r="33" spans="1:7" ht="15" customHeight="1" x14ac:dyDescent="0.3">
      <c r="A33" s="6"/>
      <c r="B33" s="6" t="s">
        <v>482</v>
      </c>
      <c r="C33" s="6" t="s">
        <v>483</v>
      </c>
      <c r="D33" s="6" t="s">
        <v>484</v>
      </c>
    </row>
    <row r="34" spans="1:7" ht="15" customHeight="1" x14ac:dyDescent="0.3">
      <c r="A34" s="19" t="s">
        <v>485</v>
      </c>
      <c r="B34" s="9">
        <f>NPV(0.05,C18*0.8,D18*0.8,E18*0.8,F18*0.8,G18*0.8)-B7</f>
        <v>254731.61902705114</v>
      </c>
      <c r="C34" s="9">
        <f>NPV(0.05,C18*1,D18*1,E18*1,F18*1,G18*1)-B7</f>
        <v>943414.5237838137</v>
      </c>
      <c r="D34" s="9">
        <f>NPV(0.05,C18*1.2,D18*1.2,E18*1.2,F18*1.2,G18*1.2)-B7</f>
        <v>1632097.4285405767</v>
      </c>
    </row>
    <row r="35" spans="1:7" ht="15" customHeight="1" x14ac:dyDescent="0.3">
      <c r="A35" s="19" t="s">
        <v>486</v>
      </c>
      <c r="B35" s="9">
        <f>NPV(0.07,C18*0.8,D18*0.8,E18*0.8,F18*0.8,G18*0.8)-B7</f>
        <v>125986.5743717053</v>
      </c>
      <c r="C35" s="9">
        <f>NPV(0.07,C18*1,D18*1,E18*1,F18*1,G18*1)-B7</f>
        <v>782483.21796463197</v>
      </c>
      <c r="D35" s="9">
        <f>NPV(0.07,C18*1.2,D18*1.2,E18*1.2,F18*1.2,G18*1.2)-B7</f>
        <v>1438979.8615575582</v>
      </c>
    </row>
    <row r="36" spans="1:7" ht="15" customHeight="1" x14ac:dyDescent="0.3">
      <c r="A36" s="19" t="s">
        <v>487</v>
      </c>
      <c r="B36" s="9">
        <f>NPV(0.1,C18*0.8,D18*0.8,E18*0.8,F18*0.8,G18*0.8)-B7</f>
        <v>-49956.970152312424</v>
      </c>
      <c r="C36" s="9">
        <f>NPV(0.1,C18*1,D18*1,E18*1,F18*1,G18*1)-B7</f>
        <v>562553.78730960935</v>
      </c>
      <c r="D36" s="9">
        <f>NPV(0.1,C18*1.2,D18*1.2,E18*1.2,F18*1.2,G18*1.2)-B7</f>
        <v>1175064.5447715311</v>
      </c>
    </row>
    <row r="38" spans="1:7" ht="15" customHeight="1" x14ac:dyDescent="0.3">
      <c r="A38" s="50" t="s">
        <v>488</v>
      </c>
      <c r="B38" s="50"/>
      <c r="C38" s="50"/>
      <c r="D38" s="50"/>
      <c r="E38" s="50"/>
      <c r="F38" s="50"/>
      <c r="G38" s="50"/>
    </row>
    <row r="40" spans="1:7" ht="15" customHeight="1" x14ac:dyDescent="0.3">
      <c r="A40" s="6" t="s">
        <v>489</v>
      </c>
      <c r="B40" s="6" t="s">
        <v>490</v>
      </c>
      <c r="C40" s="6" t="s">
        <v>491</v>
      </c>
      <c r="D40" s="6" t="s">
        <v>492</v>
      </c>
    </row>
    <row r="41" spans="1:7" ht="15" customHeight="1" x14ac:dyDescent="0.3">
      <c r="A41" s="19" t="s">
        <v>477</v>
      </c>
      <c r="B41" s="29">
        <f>D34</f>
        <v>1632097.4285405767</v>
      </c>
      <c r="C41" s="30">
        <f>B26</f>
        <v>1126342.384475695</v>
      </c>
      <c r="D41" s="31">
        <f>B36</f>
        <v>-49956.970152312424</v>
      </c>
    </row>
    <row r="42" spans="1:7" ht="15" customHeight="1" x14ac:dyDescent="0.3">
      <c r="A42" s="19" t="s">
        <v>478</v>
      </c>
      <c r="B42" s="32">
        <f>B27*1.15</f>
        <v>0.25982120226700867</v>
      </c>
      <c r="C42" s="33">
        <f>B27</f>
        <v>0.22593148023218146</v>
      </c>
      <c r="D42" s="34">
        <f>B27*0.75</f>
        <v>0.16944861017413609</v>
      </c>
    </row>
    <row r="43" spans="1:7" ht="15" customHeight="1" x14ac:dyDescent="0.3">
      <c r="A43" s="19" t="s">
        <v>479</v>
      </c>
      <c r="B43" s="32">
        <f>IFERROR((SUM(C23:G23)*1.2+B23)/(-B23),0)</f>
        <v>1.2152000000000001</v>
      </c>
      <c r="C43" s="33">
        <f>B28</f>
        <v>0.84599999999999997</v>
      </c>
      <c r="D43" s="34">
        <f>IFERROR((SUM(C23:G23)*0.8+B23)/(-B23),0)</f>
        <v>0.4768</v>
      </c>
    </row>
    <row r="44" spans="1:7" ht="15" customHeight="1" x14ac:dyDescent="0.3">
      <c r="A44" s="19" t="s">
        <v>493</v>
      </c>
      <c r="B44" s="35" t="s">
        <v>494</v>
      </c>
      <c r="C44" s="36">
        <f>B29</f>
        <v>4</v>
      </c>
      <c r="D44" s="37" t="s">
        <v>495</v>
      </c>
    </row>
  </sheetData>
  <mergeCells count="6">
    <mergeCell ref="A38:G38"/>
    <mergeCell ref="A1:G1"/>
    <mergeCell ref="A3:G3"/>
    <mergeCell ref="A12:G12"/>
    <mergeCell ref="A20:G20"/>
    <mergeCell ref="A31:G31"/>
  </mergeCells>
  <conditionalFormatting sqref="B34:D36">
    <cfRule type="cellIs" dxfId="11" priority="2" operator="greaterThan">
      <formula>0</formula>
    </cfRule>
    <cfRule type="cellIs" dxfId="1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39C12"/>
  </sheetPr>
  <dimension ref="A1:V19"/>
  <sheetViews>
    <sheetView zoomScaleNormal="100" workbookViewId="0">
      <pane xSplit="1" ySplit="3" topLeftCell="B25" activePane="bottomRight" state="frozen"/>
      <selection pane="topRight" activeCell="B1" sqref="B1"/>
      <selection pane="bottomLeft" activeCell="A4" sqref="A4"/>
      <selection pane="bottomRight" sqref="A1:Q1"/>
    </sheetView>
  </sheetViews>
  <sheetFormatPr defaultColWidth="8.6640625" defaultRowHeight="14.4" x14ac:dyDescent="0.3"/>
  <cols>
    <col min="1" max="1" width="22" customWidth="1"/>
    <col min="2" max="4" width="14" customWidth="1"/>
    <col min="5" max="5" width="10" customWidth="1"/>
    <col min="6" max="8" width="14" customWidth="1"/>
    <col min="9" max="9" width="10" customWidth="1"/>
    <col min="10" max="12" width="14" customWidth="1"/>
    <col min="13" max="13" width="10" customWidth="1"/>
    <col min="14" max="16" width="14" customWidth="1"/>
    <col min="17" max="17" width="10" customWidth="1"/>
    <col min="18" max="20" width="16" customWidth="1"/>
    <col min="21" max="21" width="10" customWidth="1"/>
    <col min="22" max="22" width="30" customWidth="1"/>
  </cols>
  <sheetData>
    <row r="1" spans="1:22" ht="19.5" customHeight="1" x14ac:dyDescent="0.4">
      <c r="A1" s="49" t="s">
        <v>496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3" spans="1:22" ht="26.25" customHeight="1" x14ac:dyDescent="0.3">
      <c r="A3" s="6" t="s">
        <v>6</v>
      </c>
      <c r="B3" s="6" t="s">
        <v>497</v>
      </c>
      <c r="C3" s="6" t="s">
        <v>498</v>
      </c>
      <c r="D3" s="6" t="s">
        <v>499</v>
      </c>
      <c r="E3" s="6" t="s">
        <v>500</v>
      </c>
      <c r="F3" s="6" t="s">
        <v>501</v>
      </c>
      <c r="G3" s="6" t="s">
        <v>502</v>
      </c>
      <c r="H3" s="6" t="s">
        <v>503</v>
      </c>
      <c r="I3" s="6" t="s">
        <v>504</v>
      </c>
      <c r="J3" s="6" t="s">
        <v>505</v>
      </c>
      <c r="K3" s="6" t="s">
        <v>506</v>
      </c>
      <c r="L3" s="6" t="s">
        <v>507</v>
      </c>
      <c r="M3" s="6" t="s">
        <v>508</v>
      </c>
      <c r="N3" s="6" t="s">
        <v>509</v>
      </c>
      <c r="O3" s="6" t="s">
        <v>510</v>
      </c>
      <c r="P3" s="6" t="s">
        <v>511</v>
      </c>
      <c r="Q3" s="6" t="s">
        <v>512</v>
      </c>
      <c r="R3" s="6" t="s">
        <v>513</v>
      </c>
      <c r="S3" s="6" t="s">
        <v>514</v>
      </c>
      <c r="T3" s="6" t="s">
        <v>515</v>
      </c>
      <c r="U3" s="6" t="s">
        <v>516</v>
      </c>
      <c r="V3" s="6" t="s">
        <v>517</v>
      </c>
    </row>
    <row r="4" spans="1:22" ht="21.75" customHeight="1" x14ac:dyDescent="0.3">
      <c r="A4" s="15" t="s">
        <v>8</v>
      </c>
      <c r="B4" s="9">
        <v>14000000</v>
      </c>
      <c r="C4" s="9">
        <v>14350000</v>
      </c>
      <c r="D4" s="9">
        <f t="shared" ref="D4:D12" si="0">C4-B4</f>
        <v>350000</v>
      </c>
      <c r="E4" s="11">
        <f t="shared" ref="E4:E13" si="1">IFERROR(D4/B4,0)</f>
        <v>2.5000000000000001E-2</v>
      </c>
      <c r="F4" s="9">
        <v>13500000</v>
      </c>
      <c r="G4" s="9">
        <v>13200000</v>
      </c>
      <c r="H4" s="9">
        <f t="shared" ref="H4:H12" si="2">G4-F4</f>
        <v>-300000</v>
      </c>
      <c r="I4" s="11">
        <f t="shared" ref="I4:I13" si="3">IFERROR(H4/F4,0)</f>
        <v>-2.2222222222222223E-2</v>
      </c>
      <c r="J4" s="9">
        <v>14500000</v>
      </c>
      <c r="K4" s="9">
        <v>14800000</v>
      </c>
      <c r="L4" s="9">
        <f t="shared" ref="L4:L12" si="4">K4-J4</f>
        <v>300000</v>
      </c>
      <c r="M4" s="11">
        <f t="shared" ref="M4:M13" si="5">IFERROR(L4/J4,0)</f>
        <v>2.0689655172413793E-2</v>
      </c>
      <c r="N4" s="9">
        <v>15500000</v>
      </c>
      <c r="O4" s="9">
        <v>16100000</v>
      </c>
      <c r="P4" s="9">
        <f t="shared" ref="P4:P12" si="6">O4-N4</f>
        <v>600000</v>
      </c>
      <c r="Q4" s="11">
        <f t="shared" ref="Q4:Q13" si="7">IFERROR(P4/N4,0)</f>
        <v>3.870967741935484E-2</v>
      </c>
      <c r="R4" s="18">
        <f t="shared" ref="R4:R12" si="8">B4+F4+J4+N4</f>
        <v>57500000</v>
      </c>
      <c r="S4" s="18">
        <f t="shared" ref="S4:S12" si="9">C4+G4+K4+O4</f>
        <v>58450000</v>
      </c>
      <c r="T4" s="18">
        <f t="shared" ref="T4:T12" si="10">S4-R4</f>
        <v>950000</v>
      </c>
      <c r="U4" s="38">
        <f t="shared" ref="U4:U13" si="11">IFERROR(T4/R4,0)</f>
        <v>1.6521739130434782E-2</v>
      </c>
      <c r="V4" s="39" t="s">
        <v>518</v>
      </c>
    </row>
    <row r="5" spans="1:22" ht="21.75" customHeight="1" x14ac:dyDescent="0.3">
      <c r="A5" s="15" t="s">
        <v>9</v>
      </c>
      <c r="B5" s="9">
        <v>11500000</v>
      </c>
      <c r="C5" s="9">
        <v>11400000</v>
      </c>
      <c r="D5" s="9">
        <f t="shared" si="0"/>
        <v>-100000</v>
      </c>
      <c r="E5" s="11">
        <f t="shared" si="1"/>
        <v>-8.6956521739130436E-3</v>
      </c>
      <c r="F5" s="9">
        <v>11000000</v>
      </c>
      <c r="G5" s="9">
        <v>11200000</v>
      </c>
      <c r="H5" s="9">
        <f t="shared" si="2"/>
        <v>200000</v>
      </c>
      <c r="I5" s="11">
        <f t="shared" si="3"/>
        <v>1.8181818181818181E-2</v>
      </c>
      <c r="J5" s="9">
        <v>12000000</v>
      </c>
      <c r="K5" s="9">
        <v>11800000</v>
      </c>
      <c r="L5" s="9">
        <f t="shared" si="4"/>
        <v>-200000</v>
      </c>
      <c r="M5" s="11">
        <f t="shared" si="5"/>
        <v>-1.6666666666666666E-2</v>
      </c>
      <c r="N5" s="9">
        <v>13000000</v>
      </c>
      <c r="O5" s="9">
        <v>13500000</v>
      </c>
      <c r="P5" s="9">
        <f t="shared" si="6"/>
        <v>500000</v>
      </c>
      <c r="Q5" s="11">
        <f t="shared" si="7"/>
        <v>3.8461538461538464E-2</v>
      </c>
      <c r="R5" s="18">
        <f t="shared" si="8"/>
        <v>47500000</v>
      </c>
      <c r="S5" s="18">
        <f t="shared" si="9"/>
        <v>47900000</v>
      </c>
      <c r="T5" s="18">
        <f t="shared" si="10"/>
        <v>400000</v>
      </c>
      <c r="U5" s="38">
        <f t="shared" si="11"/>
        <v>8.4210526315789472E-3</v>
      </c>
      <c r="V5" s="39" t="s">
        <v>519</v>
      </c>
    </row>
    <row r="6" spans="1:22" ht="21.75" customHeight="1" x14ac:dyDescent="0.3">
      <c r="A6" s="15" t="s">
        <v>10</v>
      </c>
      <c r="B6" s="9">
        <v>4200000</v>
      </c>
      <c r="C6" s="9">
        <v>4100000</v>
      </c>
      <c r="D6" s="9">
        <f t="shared" si="0"/>
        <v>-100000</v>
      </c>
      <c r="E6" s="11">
        <f t="shared" si="1"/>
        <v>-2.3809523809523808E-2</v>
      </c>
      <c r="F6" s="9">
        <v>4500000</v>
      </c>
      <c r="G6" s="9">
        <v>4650000</v>
      </c>
      <c r="H6" s="9">
        <f t="shared" si="2"/>
        <v>150000</v>
      </c>
      <c r="I6" s="11">
        <f t="shared" si="3"/>
        <v>3.3333333333333333E-2</v>
      </c>
      <c r="J6" s="9">
        <v>4800000</v>
      </c>
      <c r="K6" s="9">
        <v>4750000</v>
      </c>
      <c r="L6" s="9">
        <f t="shared" si="4"/>
        <v>-50000</v>
      </c>
      <c r="M6" s="11">
        <f t="shared" si="5"/>
        <v>-1.0416666666666666E-2</v>
      </c>
      <c r="N6" s="9">
        <v>4000000</v>
      </c>
      <c r="O6" s="9">
        <v>4200000</v>
      </c>
      <c r="P6" s="9">
        <f t="shared" si="6"/>
        <v>200000</v>
      </c>
      <c r="Q6" s="11">
        <f t="shared" si="7"/>
        <v>0.05</v>
      </c>
      <c r="R6" s="18">
        <f t="shared" si="8"/>
        <v>17500000</v>
      </c>
      <c r="S6" s="18">
        <f t="shared" si="9"/>
        <v>17700000</v>
      </c>
      <c r="T6" s="18">
        <f t="shared" si="10"/>
        <v>200000</v>
      </c>
      <c r="U6" s="38">
        <f t="shared" si="11"/>
        <v>1.1428571428571429E-2</v>
      </c>
      <c r="V6" s="39" t="s">
        <v>520</v>
      </c>
    </row>
    <row r="7" spans="1:22" ht="21.75" customHeight="1" x14ac:dyDescent="0.3">
      <c r="A7" s="15" t="s">
        <v>11</v>
      </c>
      <c r="B7" s="9">
        <v>3500000</v>
      </c>
      <c r="C7" s="9">
        <v>3450000</v>
      </c>
      <c r="D7" s="9">
        <f t="shared" si="0"/>
        <v>-50000</v>
      </c>
      <c r="E7" s="11">
        <f t="shared" si="1"/>
        <v>-1.4285714285714285E-2</v>
      </c>
      <c r="F7" s="9">
        <v>3400000</v>
      </c>
      <c r="G7" s="9">
        <v>3500000</v>
      </c>
      <c r="H7" s="9">
        <f t="shared" si="2"/>
        <v>100000</v>
      </c>
      <c r="I7" s="11">
        <f t="shared" si="3"/>
        <v>2.9411764705882353E-2</v>
      </c>
      <c r="J7" s="9">
        <v>3600000</v>
      </c>
      <c r="K7" s="9">
        <v>3550000</v>
      </c>
      <c r="L7" s="9">
        <f t="shared" si="4"/>
        <v>-50000</v>
      </c>
      <c r="M7" s="11">
        <f t="shared" si="5"/>
        <v>-1.3888888888888888E-2</v>
      </c>
      <c r="N7" s="9">
        <v>3800000</v>
      </c>
      <c r="O7" s="9">
        <v>3900000</v>
      </c>
      <c r="P7" s="9">
        <f t="shared" si="6"/>
        <v>100000</v>
      </c>
      <c r="Q7" s="11">
        <f t="shared" si="7"/>
        <v>2.6315789473684209E-2</v>
      </c>
      <c r="R7" s="18">
        <f t="shared" si="8"/>
        <v>14300000</v>
      </c>
      <c r="S7" s="18">
        <f t="shared" si="9"/>
        <v>14400000</v>
      </c>
      <c r="T7" s="18">
        <f t="shared" si="10"/>
        <v>100000</v>
      </c>
      <c r="U7" s="38">
        <f t="shared" si="11"/>
        <v>6.993006993006993E-3</v>
      </c>
      <c r="V7" s="39" t="s">
        <v>521</v>
      </c>
    </row>
    <row r="8" spans="1:22" ht="15" customHeight="1" x14ac:dyDescent="0.3">
      <c r="A8" s="15" t="s">
        <v>12</v>
      </c>
      <c r="B8" s="9">
        <v>3800000</v>
      </c>
      <c r="C8" s="9">
        <v>3900000</v>
      </c>
      <c r="D8" s="9">
        <f t="shared" si="0"/>
        <v>100000</v>
      </c>
      <c r="E8" s="11">
        <f t="shared" si="1"/>
        <v>2.6315789473684209E-2</v>
      </c>
      <c r="F8" s="9">
        <v>3700000</v>
      </c>
      <c r="G8" s="9">
        <v>3650000</v>
      </c>
      <c r="H8" s="9">
        <f t="shared" si="2"/>
        <v>-50000</v>
      </c>
      <c r="I8" s="11">
        <f t="shared" si="3"/>
        <v>-1.3513513513513514E-2</v>
      </c>
      <c r="J8" s="9">
        <v>4000000</v>
      </c>
      <c r="K8" s="9">
        <v>4100000</v>
      </c>
      <c r="L8" s="9">
        <f t="shared" si="4"/>
        <v>100000</v>
      </c>
      <c r="M8" s="11">
        <f t="shared" si="5"/>
        <v>2.5000000000000001E-2</v>
      </c>
      <c r="N8" s="9">
        <v>4200000</v>
      </c>
      <c r="O8" s="9">
        <v>4350000</v>
      </c>
      <c r="P8" s="9">
        <f t="shared" si="6"/>
        <v>150000</v>
      </c>
      <c r="Q8" s="11">
        <f t="shared" si="7"/>
        <v>3.5714285714285712E-2</v>
      </c>
      <c r="R8" s="18">
        <f t="shared" si="8"/>
        <v>15700000</v>
      </c>
      <c r="S8" s="18">
        <f t="shared" si="9"/>
        <v>16000000</v>
      </c>
      <c r="T8" s="18">
        <f t="shared" si="10"/>
        <v>300000</v>
      </c>
      <c r="U8" s="38">
        <f t="shared" si="11"/>
        <v>1.9108280254777069E-2</v>
      </c>
      <c r="V8" s="39" t="s">
        <v>522</v>
      </c>
    </row>
    <row r="9" spans="1:22" ht="21.75" customHeight="1" x14ac:dyDescent="0.3">
      <c r="A9" s="15" t="s">
        <v>13</v>
      </c>
      <c r="B9" s="9">
        <v>2200000</v>
      </c>
      <c r="C9" s="9">
        <v>2100000</v>
      </c>
      <c r="D9" s="9">
        <f t="shared" si="0"/>
        <v>-100000</v>
      </c>
      <c r="E9" s="11">
        <f t="shared" si="1"/>
        <v>-4.5454545454545456E-2</v>
      </c>
      <c r="F9" s="9">
        <v>2000000</v>
      </c>
      <c r="G9" s="9">
        <v>2050000</v>
      </c>
      <c r="H9" s="9">
        <f t="shared" si="2"/>
        <v>50000</v>
      </c>
      <c r="I9" s="11">
        <f t="shared" si="3"/>
        <v>2.5000000000000001E-2</v>
      </c>
      <c r="J9" s="9">
        <v>2100000</v>
      </c>
      <c r="K9" s="9">
        <v>2000000</v>
      </c>
      <c r="L9" s="9">
        <f t="shared" si="4"/>
        <v>-100000</v>
      </c>
      <c r="M9" s="11">
        <f t="shared" si="5"/>
        <v>-4.7619047619047616E-2</v>
      </c>
      <c r="N9" s="9">
        <v>2500000</v>
      </c>
      <c r="O9" s="9">
        <v>2600000</v>
      </c>
      <c r="P9" s="9">
        <f t="shared" si="6"/>
        <v>100000</v>
      </c>
      <c r="Q9" s="11">
        <f t="shared" si="7"/>
        <v>0.04</v>
      </c>
      <c r="R9" s="18">
        <f t="shared" si="8"/>
        <v>8800000</v>
      </c>
      <c r="S9" s="18">
        <f t="shared" si="9"/>
        <v>8750000</v>
      </c>
      <c r="T9" s="18">
        <f t="shared" si="10"/>
        <v>-50000</v>
      </c>
      <c r="U9" s="38">
        <f t="shared" si="11"/>
        <v>-5.681818181818182E-3</v>
      </c>
      <c r="V9" s="39" t="s">
        <v>523</v>
      </c>
    </row>
    <row r="10" spans="1:22" ht="21.75" customHeight="1" x14ac:dyDescent="0.3">
      <c r="A10" s="15" t="s">
        <v>14</v>
      </c>
      <c r="B10" s="9">
        <v>1200000</v>
      </c>
      <c r="C10" s="9">
        <v>1250000</v>
      </c>
      <c r="D10" s="9">
        <f t="shared" si="0"/>
        <v>50000</v>
      </c>
      <c r="E10" s="11">
        <f t="shared" si="1"/>
        <v>4.1666666666666664E-2</v>
      </c>
      <c r="F10" s="9">
        <v>1300000</v>
      </c>
      <c r="G10" s="9">
        <v>1280000</v>
      </c>
      <c r="H10" s="9">
        <f t="shared" si="2"/>
        <v>-20000</v>
      </c>
      <c r="I10" s="11">
        <f t="shared" si="3"/>
        <v>-1.5384615384615385E-2</v>
      </c>
      <c r="J10" s="9">
        <v>1100000</v>
      </c>
      <c r="K10" s="9">
        <v>1150000</v>
      </c>
      <c r="L10" s="9">
        <f t="shared" si="4"/>
        <v>50000</v>
      </c>
      <c r="M10" s="11">
        <f t="shared" si="5"/>
        <v>4.5454545454545456E-2</v>
      </c>
      <c r="N10" s="9">
        <v>1400000</v>
      </c>
      <c r="O10" s="9">
        <v>1380000</v>
      </c>
      <c r="P10" s="9">
        <f t="shared" si="6"/>
        <v>-20000</v>
      </c>
      <c r="Q10" s="11">
        <f t="shared" si="7"/>
        <v>-1.4285714285714285E-2</v>
      </c>
      <c r="R10" s="18">
        <f t="shared" si="8"/>
        <v>5000000</v>
      </c>
      <c r="S10" s="18">
        <f t="shared" si="9"/>
        <v>5060000</v>
      </c>
      <c r="T10" s="18">
        <f t="shared" si="10"/>
        <v>60000</v>
      </c>
      <c r="U10" s="38">
        <f t="shared" si="11"/>
        <v>1.2E-2</v>
      </c>
      <c r="V10" s="39" t="s">
        <v>524</v>
      </c>
    </row>
    <row r="11" spans="1:22" ht="21.75" customHeight="1" x14ac:dyDescent="0.3">
      <c r="A11" s="15" t="s">
        <v>15</v>
      </c>
      <c r="B11" s="9">
        <v>1300000</v>
      </c>
      <c r="C11" s="9">
        <v>1250000</v>
      </c>
      <c r="D11" s="9">
        <f t="shared" si="0"/>
        <v>-50000</v>
      </c>
      <c r="E11" s="11">
        <f t="shared" si="1"/>
        <v>-3.8461538461538464E-2</v>
      </c>
      <c r="F11" s="9">
        <v>1400000</v>
      </c>
      <c r="G11" s="9">
        <v>1450000</v>
      </c>
      <c r="H11" s="9">
        <f t="shared" si="2"/>
        <v>50000</v>
      </c>
      <c r="I11" s="11">
        <f t="shared" si="3"/>
        <v>3.5714285714285712E-2</v>
      </c>
      <c r="J11" s="9">
        <v>1200000</v>
      </c>
      <c r="K11" s="9">
        <v>1180000</v>
      </c>
      <c r="L11" s="9">
        <f t="shared" si="4"/>
        <v>-20000</v>
      </c>
      <c r="M11" s="11">
        <f t="shared" si="5"/>
        <v>-1.6666666666666666E-2</v>
      </c>
      <c r="N11" s="9">
        <v>1500000</v>
      </c>
      <c r="O11" s="9">
        <v>1550000</v>
      </c>
      <c r="P11" s="9">
        <f t="shared" si="6"/>
        <v>50000</v>
      </c>
      <c r="Q11" s="11">
        <f t="shared" si="7"/>
        <v>3.3333333333333333E-2</v>
      </c>
      <c r="R11" s="18">
        <f t="shared" si="8"/>
        <v>5400000</v>
      </c>
      <c r="S11" s="18">
        <f t="shared" si="9"/>
        <v>5430000</v>
      </c>
      <c r="T11" s="18">
        <f t="shared" si="10"/>
        <v>30000</v>
      </c>
      <c r="U11" s="38">
        <f t="shared" si="11"/>
        <v>5.5555555555555558E-3</v>
      </c>
      <c r="V11" s="39" t="s">
        <v>525</v>
      </c>
    </row>
    <row r="12" spans="1:22" ht="21.75" customHeight="1" x14ac:dyDescent="0.3">
      <c r="A12" s="15" t="s">
        <v>16</v>
      </c>
      <c r="B12" s="9">
        <v>1100000</v>
      </c>
      <c r="C12" s="9">
        <v>1080000</v>
      </c>
      <c r="D12" s="9">
        <f t="shared" si="0"/>
        <v>-20000</v>
      </c>
      <c r="E12" s="11">
        <f t="shared" si="1"/>
        <v>-1.8181818181818181E-2</v>
      </c>
      <c r="F12" s="9">
        <v>1000000</v>
      </c>
      <c r="G12" s="9">
        <v>1020000</v>
      </c>
      <c r="H12" s="9">
        <f t="shared" si="2"/>
        <v>20000</v>
      </c>
      <c r="I12" s="11">
        <f t="shared" si="3"/>
        <v>0.02</v>
      </c>
      <c r="J12" s="9">
        <v>1050000</v>
      </c>
      <c r="K12" s="9">
        <v>1000000</v>
      </c>
      <c r="L12" s="9">
        <f t="shared" si="4"/>
        <v>-50000</v>
      </c>
      <c r="M12" s="11">
        <f t="shared" si="5"/>
        <v>-4.7619047619047616E-2</v>
      </c>
      <c r="N12" s="9">
        <v>1200000</v>
      </c>
      <c r="O12" s="9">
        <v>1250000</v>
      </c>
      <c r="P12" s="9">
        <f t="shared" si="6"/>
        <v>50000</v>
      </c>
      <c r="Q12" s="11">
        <f t="shared" si="7"/>
        <v>4.1666666666666664E-2</v>
      </c>
      <c r="R12" s="18">
        <f t="shared" si="8"/>
        <v>4350000</v>
      </c>
      <c r="S12" s="18">
        <f t="shared" si="9"/>
        <v>4350000</v>
      </c>
      <c r="T12" s="18">
        <f t="shared" si="10"/>
        <v>0</v>
      </c>
      <c r="U12" s="38">
        <f t="shared" si="11"/>
        <v>0</v>
      </c>
      <c r="V12" s="39" t="s">
        <v>526</v>
      </c>
    </row>
    <row r="13" spans="1:22" ht="15" customHeight="1" x14ac:dyDescent="0.3">
      <c r="A13" s="40" t="s">
        <v>379</v>
      </c>
      <c r="B13" s="41">
        <f>SUM(B4:B12)</f>
        <v>42800000</v>
      </c>
      <c r="C13" s="41">
        <f>SUM(C4:C12)</f>
        <v>42880000</v>
      </c>
      <c r="D13" s="41">
        <f>SUM(D4:D12)</f>
        <v>80000</v>
      </c>
      <c r="E13" s="42">
        <f t="shared" si="1"/>
        <v>1.869158878504673E-3</v>
      </c>
      <c r="F13" s="41">
        <f>SUM(F4:F12)</f>
        <v>41800000</v>
      </c>
      <c r="G13" s="41">
        <f>SUM(G4:G12)</f>
        <v>42000000</v>
      </c>
      <c r="H13" s="41">
        <f>SUM(H4:H12)</f>
        <v>200000</v>
      </c>
      <c r="I13" s="42">
        <f t="shared" si="3"/>
        <v>4.7846889952153108E-3</v>
      </c>
      <c r="J13" s="41">
        <f>SUM(J4:J12)</f>
        <v>44350000</v>
      </c>
      <c r="K13" s="41">
        <f>SUM(K4:K12)</f>
        <v>44330000</v>
      </c>
      <c r="L13" s="41">
        <f>SUM(L4:L12)</f>
        <v>-20000</v>
      </c>
      <c r="M13" s="42">
        <f t="shared" si="5"/>
        <v>-4.5095828635851183E-4</v>
      </c>
      <c r="N13" s="41">
        <f>SUM(N4:N12)</f>
        <v>47100000</v>
      </c>
      <c r="O13" s="41">
        <f>SUM(O4:O12)</f>
        <v>48830000</v>
      </c>
      <c r="P13" s="41">
        <f>SUM(P4:P12)</f>
        <v>1730000</v>
      </c>
      <c r="Q13" s="42">
        <f t="shared" si="7"/>
        <v>3.6730360934182589E-2</v>
      </c>
      <c r="R13" s="41">
        <f>SUM(R4:R12)</f>
        <v>176050000</v>
      </c>
      <c r="S13" s="41">
        <f>SUM(S4:S12)</f>
        <v>178040000</v>
      </c>
      <c r="T13" s="41">
        <f>SUM(T4:T12)</f>
        <v>1990000</v>
      </c>
      <c r="U13" s="42">
        <f t="shared" si="11"/>
        <v>1.1303606929849474E-2</v>
      </c>
    </row>
    <row r="15" spans="1:22" ht="15" customHeight="1" x14ac:dyDescent="0.3">
      <c r="A15" s="2" t="s">
        <v>527</v>
      </c>
      <c r="B15" s="2" t="s">
        <v>528</v>
      </c>
      <c r="C15" s="2" t="s">
        <v>529</v>
      </c>
    </row>
    <row r="16" spans="1:22" ht="15" customHeight="1" x14ac:dyDescent="0.3">
      <c r="A16" s="3" t="s">
        <v>530</v>
      </c>
      <c r="B16" s="5">
        <f>SUM(B4:B12)</f>
        <v>42800000</v>
      </c>
      <c r="C16" s="5">
        <f>SUM(C4:C12)</f>
        <v>42880000</v>
      </c>
    </row>
    <row r="17" spans="1:3" ht="15" customHeight="1" x14ac:dyDescent="0.3">
      <c r="A17" s="3" t="s">
        <v>531</v>
      </c>
      <c r="B17" s="5">
        <f>SUM(F4:F12)</f>
        <v>41800000</v>
      </c>
      <c r="C17" s="5">
        <f>SUM(G4:G12)</f>
        <v>42000000</v>
      </c>
    </row>
    <row r="18" spans="1:3" ht="15" customHeight="1" x14ac:dyDescent="0.3">
      <c r="A18" s="3" t="s">
        <v>532</v>
      </c>
      <c r="B18" s="5">
        <f>SUM(J4:J12)</f>
        <v>44350000</v>
      </c>
      <c r="C18" s="5">
        <f>SUM(K4:K12)</f>
        <v>44330000</v>
      </c>
    </row>
    <row r="19" spans="1:3" ht="15" customHeight="1" x14ac:dyDescent="0.3">
      <c r="A19" s="3" t="s">
        <v>533</v>
      </c>
      <c r="B19" s="5">
        <f>SUM(N4:N12)</f>
        <v>47100000</v>
      </c>
      <c r="C19" s="5">
        <f>SUM(O4:O12)</f>
        <v>48830000</v>
      </c>
    </row>
  </sheetData>
  <mergeCells count="1">
    <mergeCell ref="A1:Q1"/>
  </mergeCells>
  <conditionalFormatting sqref="D4:D13">
    <cfRule type="cellIs" dxfId="9" priority="2" operator="lessThan">
      <formula>0</formula>
    </cfRule>
    <cfRule type="cellIs" dxfId="8" priority="3" operator="greaterThan">
      <formula>0</formula>
    </cfRule>
  </conditionalFormatting>
  <conditionalFormatting sqref="H4:H13">
    <cfRule type="cellIs" dxfId="7" priority="4" operator="lessThan">
      <formula>0</formula>
    </cfRule>
    <cfRule type="cellIs" dxfId="6" priority="5" operator="greaterThan">
      <formula>0</formula>
    </cfRule>
  </conditionalFormatting>
  <conditionalFormatting sqref="L4:L13">
    <cfRule type="cellIs" dxfId="5" priority="6" operator="lessThan">
      <formula>0</formula>
    </cfRule>
    <cfRule type="cellIs" dxfId="4" priority="7" operator="greaterThan">
      <formula>0</formula>
    </cfRule>
  </conditionalFormatting>
  <conditionalFormatting sqref="P4:P13">
    <cfRule type="cellIs" dxfId="3" priority="8" operator="lessThan">
      <formula>0</formula>
    </cfRule>
    <cfRule type="cellIs" dxfId="2" priority="9" operator="greaterThan">
      <formula>0</formula>
    </cfRule>
  </conditionalFormatting>
  <conditionalFormatting sqref="T4:T13">
    <cfRule type="cellIs" dxfId="1" priority="10" operator="lessThan">
      <formula>0</formula>
    </cfRule>
    <cfRule type="cellIs" dxfId="0" priority="1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5A5A6"/>
  </sheetPr>
  <dimension ref="A1:F36"/>
  <sheetViews>
    <sheetView tabSelected="1" topLeftCell="A3" zoomScaleNormal="100" workbookViewId="0">
      <selection activeCell="B8" sqref="B8"/>
    </sheetView>
  </sheetViews>
  <sheetFormatPr defaultColWidth="8.6640625" defaultRowHeight="14.4" x14ac:dyDescent="0.3"/>
  <cols>
    <col min="1" max="1" width="30" customWidth="1"/>
    <col min="2" max="2" width="80" customWidth="1"/>
  </cols>
  <sheetData>
    <row r="1" spans="1:6" ht="19.5" customHeight="1" x14ac:dyDescent="0.4">
      <c r="A1" s="49" t="s">
        <v>534</v>
      </c>
      <c r="B1" s="49"/>
      <c r="C1" s="49"/>
      <c r="D1" s="49"/>
      <c r="E1" s="49"/>
      <c r="F1" s="49"/>
    </row>
    <row r="2" spans="1:6" ht="15" customHeight="1" x14ac:dyDescent="0.3">
      <c r="A2" s="2"/>
      <c r="B2" s="3"/>
    </row>
    <row r="3" spans="1:6" ht="15" customHeight="1" x14ac:dyDescent="0.3">
      <c r="A3" s="1" t="s">
        <v>535</v>
      </c>
    </row>
    <row r="4" spans="1:6" ht="15" customHeight="1" x14ac:dyDescent="0.3">
      <c r="A4" s="3" t="s">
        <v>536</v>
      </c>
    </row>
    <row r="5" spans="1:6" ht="15" customHeight="1" x14ac:dyDescent="0.3">
      <c r="A5" s="3" t="s">
        <v>537</v>
      </c>
    </row>
    <row r="6" spans="1:6" ht="15" customHeight="1" x14ac:dyDescent="0.3">
      <c r="A6" s="3" t="s">
        <v>538</v>
      </c>
    </row>
    <row r="7" spans="1:6" ht="15" customHeight="1" x14ac:dyDescent="0.3">
      <c r="A7" s="2"/>
      <c r="B7" s="3"/>
    </row>
    <row r="8" spans="1:6" ht="15" customHeight="1" x14ac:dyDescent="0.3">
      <c r="A8" s="1" t="s">
        <v>539</v>
      </c>
      <c r="B8" t="s">
        <v>540</v>
      </c>
    </row>
    <row r="9" spans="1:6" ht="15" customHeight="1" x14ac:dyDescent="0.3">
      <c r="A9" s="2" t="s">
        <v>541</v>
      </c>
      <c r="B9" s="3" t="s">
        <v>580</v>
      </c>
    </row>
    <row r="10" spans="1:6" ht="15" customHeight="1" x14ac:dyDescent="0.3">
      <c r="A10" s="2" t="s">
        <v>542</v>
      </c>
      <c r="B10" s="3" t="s">
        <v>543</v>
      </c>
    </row>
    <row r="11" spans="1:6" ht="15" customHeight="1" x14ac:dyDescent="0.3">
      <c r="A11" s="2"/>
      <c r="B11" s="3"/>
    </row>
    <row r="12" spans="1:6" ht="15" customHeight="1" x14ac:dyDescent="0.3">
      <c r="A12" s="1" t="s">
        <v>544</v>
      </c>
    </row>
    <row r="13" spans="1:6" ht="15" customHeight="1" x14ac:dyDescent="0.3">
      <c r="A13" s="2" t="s">
        <v>545</v>
      </c>
      <c r="B13" s="3" t="s">
        <v>546</v>
      </c>
    </row>
    <row r="14" spans="1:6" ht="15" customHeight="1" x14ac:dyDescent="0.3">
      <c r="A14" s="2" t="s">
        <v>547</v>
      </c>
      <c r="B14" s="3" t="s">
        <v>548</v>
      </c>
    </row>
    <row r="15" spans="1:6" ht="15" customHeight="1" x14ac:dyDescent="0.3">
      <c r="A15" s="2" t="s">
        <v>549</v>
      </c>
      <c r="B15" s="3" t="s">
        <v>550</v>
      </c>
    </row>
    <row r="16" spans="1:6" ht="15" customHeight="1" x14ac:dyDescent="0.3">
      <c r="A16" s="2" t="s">
        <v>551</v>
      </c>
      <c r="B16" s="3" t="s">
        <v>552</v>
      </c>
    </row>
    <row r="17" spans="1:2" ht="15" customHeight="1" x14ac:dyDescent="0.3">
      <c r="A17" s="2" t="s">
        <v>553</v>
      </c>
      <c r="B17" s="3" t="s">
        <v>554</v>
      </c>
    </row>
    <row r="18" spans="1:2" ht="15" customHeight="1" x14ac:dyDescent="0.3">
      <c r="A18" s="2" t="s">
        <v>555</v>
      </c>
      <c r="B18" s="3" t="s">
        <v>556</v>
      </c>
    </row>
    <row r="19" spans="1:2" ht="15" customHeight="1" x14ac:dyDescent="0.3">
      <c r="A19" s="2" t="s">
        <v>557</v>
      </c>
      <c r="B19" s="3" t="s">
        <v>558</v>
      </c>
    </row>
    <row r="20" spans="1:2" ht="15" customHeight="1" x14ac:dyDescent="0.3">
      <c r="A20" s="2"/>
      <c r="B20" s="3"/>
    </row>
    <row r="21" spans="1:2" ht="15" customHeight="1" x14ac:dyDescent="0.3">
      <c r="A21" s="1" t="s">
        <v>559</v>
      </c>
    </row>
    <row r="22" spans="1:2" ht="15" customHeight="1" x14ac:dyDescent="0.3">
      <c r="A22" s="2" t="s">
        <v>560</v>
      </c>
      <c r="B22" s="3" t="s">
        <v>561</v>
      </c>
    </row>
    <row r="23" spans="1:2" ht="15" customHeight="1" x14ac:dyDescent="0.3">
      <c r="A23" s="2" t="s">
        <v>562</v>
      </c>
      <c r="B23" s="3" t="s">
        <v>563</v>
      </c>
    </row>
    <row r="24" spans="1:2" ht="15" customHeight="1" x14ac:dyDescent="0.3">
      <c r="A24" s="2" t="s">
        <v>564</v>
      </c>
      <c r="B24" s="3" t="s">
        <v>565</v>
      </c>
    </row>
    <row r="25" spans="1:2" ht="15" customHeight="1" x14ac:dyDescent="0.3">
      <c r="A25" s="2" t="s">
        <v>566</v>
      </c>
      <c r="B25" s="3" t="s">
        <v>567</v>
      </c>
    </row>
    <row r="26" spans="1:2" ht="15" customHeight="1" x14ac:dyDescent="0.3">
      <c r="A26" s="2" t="s">
        <v>568</v>
      </c>
      <c r="B26" s="3" t="s">
        <v>569</v>
      </c>
    </row>
    <row r="27" spans="1:2" ht="15" customHeight="1" x14ac:dyDescent="0.3">
      <c r="A27" s="2" t="s">
        <v>570</v>
      </c>
      <c r="B27" s="3" t="s">
        <v>571</v>
      </c>
    </row>
    <row r="28" spans="1:2" ht="15" customHeight="1" x14ac:dyDescent="0.3">
      <c r="A28" s="2"/>
      <c r="B28" s="3"/>
    </row>
    <row r="29" spans="1:2" ht="15" customHeight="1" x14ac:dyDescent="0.3">
      <c r="A29" s="1" t="s">
        <v>572</v>
      </c>
    </row>
    <row r="30" spans="1:2" ht="15" customHeight="1" x14ac:dyDescent="0.3">
      <c r="A30" s="3" t="s">
        <v>573</v>
      </c>
    </row>
    <row r="31" spans="1:2" ht="15" customHeight="1" x14ac:dyDescent="0.3">
      <c r="A31" s="3" t="s">
        <v>574</v>
      </c>
    </row>
    <row r="32" spans="1:2" ht="15" customHeight="1" x14ac:dyDescent="0.3">
      <c r="A32" s="3" t="s">
        <v>575</v>
      </c>
    </row>
    <row r="33" spans="1:1" ht="15" customHeight="1" x14ac:dyDescent="0.3">
      <c r="A33" s="3" t="s">
        <v>576</v>
      </c>
    </row>
    <row r="34" spans="1:1" ht="15" customHeight="1" x14ac:dyDescent="0.3">
      <c r="A34" s="3" t="s">
        <v>577</v>
      </c>
    </row>
    <row r="35" spans="1:1" ht="15" customHeight="1" x14ac:dyDescent="0.3">
      <c r="A35" s="3" t="s">
        <v>578</v>
      </c>
    </row>
    <row r="36" spans="1:1" ht="15" customHeight="1" x14ac:dyDescent="0.3">
      <c r="A36" s="3" t="s">
        <v>579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Data Input</vt:lpstr>
      <vt:lpstr>Spend Analysis</vt:lpstr>
      <vt:lpstr>Supplier Scorecard</vt:lpstr>
      <vt:lpstr>Cost Savings Tracker</vt:lpstr>
      <vt:lpstr>Business Case Calculator</vt:lpstr>
      <vt:lpstr>Budget vs Actual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Kaif Ahmed</cp:lastModifiedBy>
  <cp:revision>2</cp:revision>
  <dcterms:created xsi:type="dcterms:W3CDTF">2026-02-14T21:35:44Z</dcterms:created>
  <dcterms:modified xsi:type="dcterms:W3CDTF">2026-02-14T22:31:06Z</dcterms:modified>
  <dc:language>en-US</dc:language>
</cp:coreProperties>
</file>